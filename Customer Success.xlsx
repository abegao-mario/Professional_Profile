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PS" sheetId="1" state="visible" r:id="rId2"/>
    <sheet name="CSAT" sheetId="2" state="visible" r:id="rId3"/>
    <sheet name="CES" sheetId="3" state="visible" r:id="rId4"/>
    <sheet name="FCR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<sst xmlns="http://schemas.openxmlformats.org/spreadsheetml/2006/main" count="64" uniqueCount="34">
  <si>
    <t xml:space="preserve">Net Promoter Score (NPS)</t>
  </si>
  <si>
    <t xml:space="preserve">On a scale of 1-10 (1 do not recommend; 10 fully recommend), how likely are you to recommend us? </t>
  </si>
  <si>
    <t xml:space="preserve">Customer A</t>
  </si>
  <si>
    <t xml:space="preserve">Legend</t>
  </si>
  <si>
    <t xml:space="preserve">Customer B</t>
  </si>
  <si>
    <t xml:space="preserve">Action Required</t>
  </si>
  <si>
    <t xml:space="preserve">&lt;=50%</t>
  </si>
  <si>
    <t xml:space="preserve">Customer C</t>
  </si>
  <si>
    <t xml:space="preserve">Attention</t>
  </si>
  <si>
    <t xml:space="preserve">&gt;=51&lt;=74%</t>
  </si>
  <si>
    <t xml:space="preserve">Customer D</t>
  </si>
  <si>
    <t xml:space="preserve">Fine</t>
  </si>
  <si>
    <t xml:space="preserve">&gt;=75%</t>
  </si>
  <si>
    <t xml:space="preserve">Customer E</t>
  </si>
  <si>
    <t xml:space="preserve">Customer F</t>
  </si>
  <si>
    <t xml:space="preserve">Detractors</t>
  </si>
  <si>
    <t xml:space="preserve">Promoters</t>
  </si>
  <si>
    <t xml:space="preserve">NPS</t>
  </si>
  <si>
    <t xml:space="preserve">Customer Satisfaction Score (CSAT)</t>
  </si>
  <si>
    <t xml:space="preserve">On a scale of 1-5 (1 - Very Dissatisfied; 5 - Very Satisfied), how satisfied are you with our services? </t>
  </si>
  <si>
    <t xml:space="preserve">Dissatisfied</t>
  </si>
  <si>
    <t xml:space="preserve">Satisfied</t>
  </si>
  <si>
    <t xml:space="preserve">CSAT</t>
  </si>
  <si>
    <t xml:space="preserve">Customer Effort Score (CES)</t>
  </si>
  <si>
    <t xml:space="preserve">On a scale of 1-5 (1 - Very Difficult; 5 - Very Easy), how easy was it to resolve your issue? </t>
  </si>
  <si>
    <t xml:space="preserve">&lt;=2</t>
  </si>
  <si>
    <t xml:space="preserve">&gt;2&lt;=3</t>
  </si>
  <si>
    <t xml:space="preserve">&gt;3</t>
  </si>
  <si>
    <t xml:space="preserve">CES</t>
  </si>
  <si>
    <t xml:space="preserve">First Contact Resolution Score (FCR)</t>
  </si>
  <si>
    <t xml:space="preserve">Has your query been closed during first contact?</t>
  </si>
  <si>
    <t xml:space="preserve">Total Tickets</t>
  </si>
  <si>
    <t xml:space="preserve">Total FCR</t>
  </si>
  <si>
    <t xml:space="preserve">FCR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</si>
</sst>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#,##0.0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</font>
    <font>
      <b val="true"/>
      <sz val="10"/>
      <name val="Arial"/>
      <family val="2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 val="true"/>
      <sz val="16"/>
      <name val="Arial"/>
      <family val="2"/>
    </font>
    <font>
      <b val="true"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666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false" applyBorder="false" applyAlignment="false" applyProtection="false"/>
    <xf numFmtId="164" fontId="0" fillId="3" borderId="0" applyFont="false" applyBorder="false" applyAlignment="false" applyProtection="false"/>
    <xf numFmtId="164" fontId="0" fillId="4" borderId="0" applyFont="false" applyBorder="false" applyAlignment="false" applyProtection="false"/>
    <xf numFmtId="164" fontId="0" fillId="2" borderId="0" applyFont="false" applyBorder="false" applyAlignment="false" applyProtection="false"/>
    <xf numFmtId="164" fontId="0" fillId="3" borderId="0" applyFont="false" applyBorder="false" applyAlignment="false" applyProtection="false"/>
    <xf numFmtId="164" fontId="0" fillId="4" borderId="0" applyFont="fals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  <cellStyle name="Untitled4" xfId="23"/>
    <cellStyle name="Untitled5" xfId="24"/>
    <cellStyle name="Untitled6" xfId="25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0" sqref="E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0" width="15.42"/>
    <col collapsed="false" customWidth="true" hidden="false" outlineLevel="0" max="6" min="6" style="0" width="12.26"/>
    <col collapsed="false" customWidth="true" hidden="false" outlineLevel="0" max="7" min="7" style="0" width="2.7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4.4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2.8" hidden="false" customHeight="false" outlineLevel="0" collapsed="false">
      <c r="A3" s="3"/>
      <c r="G3" s="4"/>
    </row>
    <row r="4" customFormat="false" ht="12.8" hidden="false" customHeight="false" outlineLevel="0" collapsed="false">
      <c r="A4" s="5" t="s">
        <v>2</v>
      </c>
      <c r="B4" s="6" t="n">
        <v>5</v>
      </c>
      <c r="C4" s="5" t="str">
        <f aca="false">IF($B4&lt;=6,"Detractors",IF($B4&lt;=8,"Passives","Promoters"))</f>
        <v>Detractors</v>
      </c>
      <c r="E4" s="7" t="s">
        <v>3</v>
      </c>
      <c r="F4" s="7"/>
      <c r="G4" s="4"/>
    </row>
    <row r="5" customFormat="false" ht="12.8" hidden="false" customHeight="false" outlineLevel="0" collapsed="false">
      <c r="A5" s="5" t="s">
        <v>4</v>
      </c>
      <c r="B5" s="6" t="n">
        <v>9</v>
      </c>
      <c r="C5" s="5" t="str">
        <f aca="false">IF($B5&lt;=6,"Detractors",IF($B5&lt;=8,"Passives","Promoters"))</f>
        <v>Promoters</v>
      </c>
      <c r="E5" s="8" t="s">
        <v>5</v>
      </c>
      <c r="F5" s="5" t="s">
        <v>6</v>
      </c>
      <c r="G5" s="4"/>
    </row>
    <row r="6" customFormat="false" ht="12.8" hidden="false" customHeight="false" outlineLevel="0" collapsed="false">
      <c r="A6" s="5" t="s">
        <v>7</v>
      </c>
      <c r="B6" s="6" t="n">
        <v>10</v>
      </c>
      <c r="C6" s="5" t="str">
        <f aca="false">IF($B6&lt;=6,"Detractors",IF($B6&lt;=8,"Passives","Promoters"))</f>
        <v>Promoters</v>
      </c>
      <c r="E6" s="9" t="s">
        <v>8</v>
      </c>
      <c r="F6" s="5" t="s">
        <v>9</v>
      </c>
      <c r="G6" s="4"/>
    </row>
    <row r="7" customFormat="false" ht="12.8" hidden="false" customHeight="false" outlineLevel="0" collapsed="false">
      <c r="A7" s="5" t="s">
        <v>10</v>
      </c>
      <c r="B7" s="6" t="n">
        <v>8</v>
      </c>
      <c r="C7" s="5" t="str">
        <f aca="false">IF($B7&lt;=6,"Detractors",IF($B7&lt;=8,"Passives","Promoters"))</f>
        <v>Passives</v>
      </c>
      <c r="E7" s="10" t="s">
        <v>11</v>
      </c>
      <c r="F7" s="5" t="s">
        <v>12</v>
      </c>
      <c r="G7" s="4"/>
    </row>
    <row r="8" customFormat="false" ht="12.8" hidden="false" customHeight="false" outlineLevel="0" collapsed="false">
      <c r="A8" s="5" t="s">
        <v>13</v>
      </c>
      <c r="B8" s="5" t="n">
        <v>9</v>
      </c>
      <c r="C8" s="5" t="str">
        <f aca="false">IF($B8&lt;=6,"Detractors",IF($B8&lt;=8,"Passives","Promoters"))</f>
        <v>Promoters</v>
      </c>
      <c r="G8" s="4"/>
    </row>
    <row r="9" customFormat="false" ht="12.8" hidden="false" customHeight="false" outlineLevel="0" collapsed="false">
      <c r="A9" s="5" t="s">
        <v>14</v>
      </c>
      <c r="B9" s="5" t="n">
        <v>10</v>
      </c>
      <c r="C9" s="5" t="str">
        <f aca="false">IF($B9&lt;=6,"Detractors",IF($B9&lt;=8,"Passives","Promoters"))</f>
        <v>Promoters</v>
      </c>
      <c r="G9" s="4"/>
    </row>
    <row r="10" customFormat="false" ht="12.8" hidden="false" customHeight="false" outlineLevel="0" collapsed="false">
      <c r="A10" s="3"/>
      <c r="G10" s="4"/>
    </row>
    <row r="11" customFormat="false" ht="12.8" hidden="false" customHeight="false" outlineLevel="0" collapsed="false">
      <c r="A11" s="5" t="s">
        <v>15</v>
      </c>
      <c r="B11" s="5" t="n">
        <f aca="false">COUNTIF($C$4:$C$9,"Detractors")</f>
        <v>1</v>
      </c>
      <c r="G11" s="4"/>
    </row>
    <row r="12" customFormat="false" ht="12.8" hidden="false" customHeight="false" outlineLevel="0" collapsed="false">
      <c r="A12" s="5" t="s">
        <v>16</v>
      </c>
      <c r="B12" s="5" t="n">
        <f aca="false">COUNTIF($C$4:$C$9,"Promoters")</f>
        <v>4</v>
      </c>
      <c r="G12" s="4"/>
    </row>
    <row r="13" customFormat="false" ht="12.8" hidden="false" customHeight="false" outlineLevel="0" collapsed="false">
      <c r="A13" s="3"/>
      <c r="G13" s="4"/>
    </row>
    <row r="14" customFormat="false" ht="19.7" hidden="false" customHeight="false" outlineLevel="0" collapsed="false">
      <c r="A14" s="11" t="s">
        <v>17</v>
      </c>
      <c r="B14" s="12" t="n">
        <f aca="false">($B$12-$B$11)/SUM($B$11:$B$12)</f>
        <v>0.6</v>
      </c>
      <c r="C14" s="13"/>
      <c r="G14" s="4"/>
    </row>
    <row r="15" customFormat="false" ht="12.8" hidden="false" customHeight="false" outlineLevel="0" collapsed="false">
      <c r="A15" s="3"/>
      <c r="G15" s="4"/>
    </row>
    <row r="16" customFormat="false" ht="12.8" hidden="false" customHeight="false" outlineLevel="0" collapsed="false">
      <c r="A16" s="14"/>
      <c r="B16" s="15"/>
      <c r="C16" s="15"/>
      <c r="D16" s="15"/>
      <c r="E16" s="15"/>
      <c r="F16" s="15"/>
      <c r="G16" s="16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26" activeCellId="0" sqref="C26"/>
    </sheetView>
  </sheetViews>
  <sheetFormatPr defaultColWidth="11.53515625" defaultRowHeight="12.8" zeroHeight="false" outlineLevelRow="0" outlineLevelCol="0"/>
  <cols>
    <col collapsed="false" customWidth="true" hidden="false" outlineLevel="0" max="5" min="5" style="0" width="15.42"/>
    <col collapsed="false" customWidth="true" hidden="false" outlineLevel="0" max="6" min="6" style="0" width="12.26"/>
    <col collapsed="false" customWidth="true" hidden="false" outlineLevel="0" max="7" min="7" style="0" width="2.77"/>
  </cols>
  <sheetData>
    <row r="1" customFormat="false" ht="17.35" hidden="false" customHeight="false" outlineLevel="0" collapsed="false">
      <c r="A1" s="1" t="s">
        <v>18</v>
      </c>
      <c r="B1" s="1"/>
      <c r="C1" s="1"/>
      <c r="D1" s="1"/>
      <c r="E1" s="1"/>
      <c r="F1" s="1"/>
      <c r="G1" s="1"/>
    </row>
    <row r="2" customFormat="false" ht="24.4" hidden="false" customHeight="true" outlineLevel="0" collapsed="false">
      <c r="A2" s="2" t="s">
        <v>19</v>
      </c>
      <c r="B2" s="2"/>
      <c r="C2" s="2"/>
      <c r="D2" s="2"/>
      <c r="E2" s="2"/>
      <c r="F2" s="2"/>
      <c r="G2" s="2"/>
    </row>
    <row r="3" customFormat="false" ht="12.8" hidden="false" customHeight="false" outlineLevel="0" collapsed="false">
      <c r="A3" s="3"/>
      <c r="G3" s="4"/>
    </row>
    <row r="4" customFormat="false" ht="12.8" hidden="false" customHeight="false" outlineLevel="0" collapsed="false">
      <c r="A4" s="5" t="s">
        <v>2</v>
      </c>
      <c r="B4" s="6" t="n">
        <v>5</v>
      </c>
      <c r="C4" s="5" t="str">
        <f aca="false">IF($B4&lt;=2,"Dissatisfied",IF($B4&lt;=3,"Passives","Satisfied"))</f>
        <v>Satisfied</v>
      </c>
      <c r="E4" s="7" t="s">
        <v>3</v>
      </c>
      <c r="F4" s="7"/>
      <c r="G4" s="4"/>
    </row>
    <row r="5" customFormat="false" ht="12.8" hidden="false" customHeight="false" outlineLevel="0" collapsed="false">
      <c r="A5" s="5" t="s">
        <v>4</v>
      </c>
      <c r="B5" s="6" t="n">
        <v>3</v>
      </c>
      <c r="C5" s="5" t="str">
        <f aca="false">IF($B5&lt;=2,"Dissatisfied",IF($B5&lt;=3,"Passives","Satisfied"))</f>
        <v>Passives</v>
      </c>
      <c r="E5" s="8" t="s">
        <v>5</v>
      </c>
      <c r="F5" s="5" t="s">
        <v>6</v>
      </c>
      <c r="G5" s="4"/>
    </row>
    <row r="6" customFormat="false" ht="12.8" hidden="false" customHeight="false" outlineLevel="0" collapsed="false">
      <c r="A6" s="5" t="s">
        <v>7</v>
      </c>
      <c r="B6" s="6" t="n">
        <v>3</v>
      </c>
      <c r="C6" s="5" t="str">
        <f aca="false">IF($B6&lt;=2,"Dissatisfied",IF($B6&lt;=3,"Passives","Satisfied"))</f>
        <v>Passives</v>
      </c>
      <c r="E6" s="9" t="s">
        <v>8</v>
      </c>
      <c r="F6" s="5" t="s">
        <v>9</v>
      </c>
      <c r="G6" s="4"/>
    </row>
    <row r="7" customFormat="false" ht="12.8" hidden="false" customHeight="false" outlineLevel="0" collapsed="false">
      <c r="A7" s="5" t="s">
        <v>10</v>
      </c>
      <c r="B7" s="6" t="n">
        <v>1</v>
      </c>
      <c r="C7" s="5" t="str">
        <f aca="false">IF($B7&lt;=2,"Dissatisfied",IF($B7&lt;=3,"Passives","Satisfied"))</f>
        <v>Dissatisfied</v>
      </c>
      <c r="E7" s="10" t="s">
        <v>11</v>
      </c>
      <c r="F7" s="5" t="s">
        <v>12</v>
      </c>
      <c r="G7" s="4"/>
    </row>
    <row r="8" customFormat="false" ht="12.8" hidden="false" customHeight="false" outlineLevel="0" collapsed="false">
      <c r="A8" s="5" t="s">
        <v>13</v>
      </c>
      <c r="B8" s="5" t="n">
        <v>4</v>
      </c>
      <c r="C8" s="5" t="str">
        <f aca="false">IF($B8&lt;=2,"Dissatisfied",IF($B8&lt;=3,"Passives","Satisfied"))</f>
        <v>Satisfied</v>
      </c>
      <c r="G8" s="4"/>
    </row>
    <row r="9" customFormat="false" ht="12.8" hidden="false" customHeight="false" outlineLevel="0" collapsed="false">
      <c r="A9" s="5" t="s">
        <v>14</v>
      </c>
      <c r="B9" s="5" t="n">
        <v>5</v>
      </c>
      <c r="C9" s="5" t="str">
        <f aca="false">IF($B9&lt;=2,"Dissatisfied",IF($B9&lt;=3,"Passives","Satisfied"))</f>
        <v>Satisfied</v>
      </c>
      <c r="G9" s="4"/>
    </row>
    <row r="10" customFormat="false" ht="12.8" hidden="false" customHeight="false" outlineLevel="0" collapsed="false">
      <c r="A10" s="3"/>
      <c r="G10" s="4"/>
    </row>
    <row r="11" customFormat="false" ht="12.8" hidden="false" customHeight="false" outlineLevel="0" collapsed="false">
      <c r="A11" s="5" t="s">
        <v>20</v>
      </c>
      <c r="B11" s="5" t="n">
        <f aca="false">COUNTIF($C$4:$C$9,"Dissatisfied")</f>
        <v>1</v>
      </c>
      <c r="G11" s="4"/>
    </row>
    <row r="12" customFormat="false" ht="12.8" hidden="false" customHeight="false" outlineLevel="0" collapsed="false">
      <c r="A12" s="5" t="s">
        <v>21</v>
      </c>
      <c r="B12" s="5" t="n">
        <f aca="false">COUNTIF($C$4:$C$9,"Satisfied")</f>
        <v>3</v>
      </c>
      <c r="G12" s="4"/>
    </row>
    <row r="13" customFormat="false" ht="12.8" hidden="false" customHeight="false" outlineLevel="0" collapsed="false">
      <c r="A13" s="3"/>
      <c r="G13" s="4"/>
    </row>
    <row r="14" customFormat="false" ht="19.7" hidden="false" customHeight="false" outlineLevel="0" collapsed="false">
      <c r="A14" s="11" t="s">
        <v>22</v>
      </c>
      <c r="B14" s="12" t="n">
        <f aca="false">($B$12-$B$11)/SUM($B$11:$B$12)</f>
        <v>0.5</v>
      </c>
      <c r="C14" s="13"/>
      <c r="G14" s="4"/>
    </row>
    <row r="15" customFormat="false" ht="12.8" hidden="false" customHeight="false" outlineLevel="0" collapsed="false">
      <c r="A15" s="3"/>
      <c r="G15" s="4"/>
    </row>
    <row r="16" customFormat="false" ht="12.8" hidden="false" customHeight="false" outlineLevel="0" collapsed="false">
      <c r="A16" s="14"/>
      <c r="B16" s="15"/>
      <c r="C16" s="15"/>
      <c r="D16" s="15"/>
      <c r="E16" s="15"/>
      <c r="F16" s="15"/>
      <c r="G16" s="16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0" activeCellId="0" sqref="B20"/>
    </sheetView>
  </sheetViews>
  <sheetFormatPr defaultColWidth="11.53515625" defaultRowHeight="12.8" zeroHeight="false" outlineLevelRow="0" outlineLevelCol="0"/>
  <cols>
    <col collapsed="false" customWidth="true" hidden="false" outlineLevel="0" max="5" min="5" style="0" width="15.42"/>
    <col collapsed="false" customWidth="true" hidden="false" outlineLevel="0" max="6" min="6" style="0" width="12.26"/>
    <col collapsed="false" customWidth="true" hidden="false" outlineLevel="0" max="7" min="7" style="0" width="2.77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</row>
    <row r="2" customFormat="false" ht="12.8" hidden="false" customHeight="true" outlineLevel="0" collapsed="false">
      <c r="A2" s="2" t="s">
        <v>24</v>
      </c>
      <c r="B2" s="2"/>
      <c r="C2" s="2"/>
      <c r="D2" s="2"/>
      <c r="E2" s="2"/>
      <c r="F2" s="2"/>
      <c r="G2" s="2"/>
    </row>
    <row r="3" customFormat="false" ht="12.8" hidden="false" customHeight="false" outlineLevel="0" collapsed="false">
      <c r="A3" s="3"/>
      <c r="G3" s="4"/>
    </row>
    <row r="4" customFormat="false" ht="12.8" hidden="false" customHeight="false" outlineLevel="0" collapsed="false">
      <c r="A4" s="5" t="s">
        <v>2</v>
      </c>
      <c r="B4" s="6" t="n">
        <v>3</v>
      </c>
      <c r="C4" s="5" t="str">
        <f aca="false">IF($B4&lt;=2,"Difficult",IF($B4&lt;=3,"Regular","Easy"))</f>
        <v>Regular</v>
      </c>
      <c r="E4" s="7" t="s">
        <v>3</v>
      </c>
      <c r="F4" s="7"/>
      <c r="G4" s="4"/>
    </row>
    <row r="5" customFormat="false" ht="12.8" hidden="false" customHeight="false" outlineLevel="0" collapsed="false">
      <c r="A5" s="5" t="s">
        <v>4</v>
      </c>
      <c r="B5" s="6" t="n">
        <v>4</v>
      </c>
      <c r="C5" s="5" t="str">
        <f aca="false">IF($B5&lt;=2,"Difficult",IF($B5&lt;=3,"Regular","Easy"))</f>
        <v>Easy</v>
      </c>
      <c r="E5" s="8" t="s">
        <v>5</v>
      </c>
      <c r="F5" s="5" t="s">
        <v>25</v>
      </c>
      <c r="G5" s="4"/>
    </row>
    <row r="6" customFormat="false" ht="12.8" hidden="false" customHeight="false" outlineLevel="0" collapsed="false">
      <c r="A6" s="5" t="s">
        <v>7</v>
      </c>
      <c r="B6" s="6" t="n">
        <v>5</v>
      </c>
      <c r="C6" s="5" t="str">
        <f aca="false">IF($B6&lt;=2,"Difficult",IF($B6&lt;=3,"Regular","Easy"))</f>
        <v>Easy</v>
      </c>
      <c r="E6" s="9" t="s">
        <v>8</v>
      </c>
      <c r="F6" s="5" t="s">
        <v>26</v>
      </c>
      <c r="G6" s="4"/>
    </row>
    <row r="7" customFormat="false" ht="12.8" hidden="false" customHeight="false" outlineLevel="0" collapsed="false">
      <c r="A7" s="5" t="s">
        <v>10</v>
      </c>
      <c r="B7" s="6" t="n">
        <v>2</v>
      </c>
      <c r="C7" s="5" t="str">
        <f aca="false">IF($B7&lt;=2,"Difficult",IF($B7&lt;=3,"Regular","Easy"))</f>
        <v>Difficult</v>
      </c>
      <c r="E7" s="10" t="s">
        <v>11</v>
      </c>
      <c r="F7" s="5" t="s">
        <v>27</v>
      </c>
      <c r="G7" s="4"/>
    </row>
    <row r="8" customFormat="false" ht="12.8" hidden="false" customHeight="false" outlineLevel="0" collapsed="false">
      <c r="A8" s="5" t="s">
        <v>13</v>
      </c>
      <c r="B8" s="5" t="n">
        <v>2</v>
      </c>
      <c r="C8" s="5" t="str">
        <f aca="false">IF($B8&lt;=2,"Difficult",IF($B8&lt;=3,"Regular","Easy"))</f>
        <v>Difficult</v>
      </c>
      <c r="G8" s="4"/>
    </row>
    <row r="9" customFormat="false" ht="12.8" hidden="false" customHeight="false" outlineLevel="0" collapsed="false">
      <c r="A9" s="5" t="s">
        <v>14</v>
      </c>
      <c r="B9" s="5" t="n">
        <v>3</v>
      </c>
      <c r="C9" s="5" t="str">
        <f aca="false">IF($B9&lt;=2,"Difficult",IF($B9&lt;=3,"Regular","Easy"))</f>
        <v>Regular</v>
      </c>
      <c r="G9" s="4"/>
    </row>
    <row r="10" customFormat="false" ht="12.8" hidden="false" customHeight="false" outlineLevel="0" collapsed="false">
      <c r="A10" s="3"/>
      <c r="G10" s="4"/>
    </row>
    <row r="11" customFormat="false" ht="12.8" hidden="false" customHeight="false" outlineLevel="0" collapsed="false">
      <c r="A11" s="3"/>
      <c r="G11" s="4"/>
    </row>
    <row r="12" customFormat="false" ht="19.7" hidden="false" customHeight="false" outlineLevel="0" collapsed="false">
      <c r="A12" s="11" t="s">
        <v>28</v>
      </c>
      <c r="B12" s="17" t="n">
        <f aca="false">AVERAGE(B4:B9)</f>
        <v>3.16666666666667</v>
      </c>
      <c r="C12" s="13"/>
      <c r="G12" s="4"/>
    </row>
    <row r="13" customFormat="false" ht="14.9" hidden="false" customHeight="false" outlineLevel="0" collapsed="false">
      <c r="A13" s="3"/>
      <c r="G13" s="4"/>
    </row>
    <row r="14" customFormat="false" ht="12.8" hidden="false" customHeight="false" outlineLevel="0" collapsed="false">
      <c r="A14" s="14"/>
      <c r="B14" s="15"/>
      <c r="C14" s="15"/>
      <c r="D14" s="15"/>
      <c r="E14" s="15"/>
      <c r="F14" s="15"/>
      <c r="G14" s="16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2</formula>
    </cfRule>
    <cfRule type="cellIs" priority="3" operator="between" aboveAverage="0" equalAverage="0" bottom="0" percent="0" rank="0" text="" dxfId="1">
      <formula>2.01</formula>
      <formula>3</formula>
    </cfRule>
    <cfRule type="cellIs" priority="4" operator="greaterThan" aboveAverage="0" equalAverage="0" bottom="0" percent="0" rank="0" text="" dxfId="2">
      <formula>3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29" activeCellId="0" sqref="J29"/>
    </sheetView>
  </sheetViews>
  <sheetFormatPr defaultColWidth="11.53515625" defaultRowHeight="12.8" zeroHeight="false" outlineLevelRow="0" outlineLevelCol="0"/>
  <cols>
    <col collapsed="false" customWidth="true" hidden="false" outlineLevel="0" max="5" min="5" style="0" width="15.42"/>
    <col collapsed="false" customWidth="true" hidden="false" outlineLevel="0" max="6" min="6" style="0" width="12.26"/>
    <col collapsed="false" customWidth="true" hidden="false" outlineLevel="0" max="7" min="7" style="0" width="2.77"/>
  </cols>
  <sheetData>
    <row r="1" customFormat="false" ht="17.35" hidden="false" customHeight="false" outlineLevel="0" collapsed="false">
      <c r="A1" s="1" t="s">
        <v>29</v>
      </c>
      <c r="B1" s="1"/>
      <c r="C1" s="1"/>
      <c r="D1" s="1"/>
      <c r="E1" s="1"/>
      <c r="F1" s="1"/>
      <c r="G1" s="1"/>
    </row>
    <row r="2" customFormat="false" ht="12.8" hidden="false" customHeight="true" outlineLevel="0" collapsed="false">
      <c r="A2" s="2" t="s">
        <v>30</v>
      </c>
      <c r="B2" s="2"/>
      <c r="C2" s="2"/>
      <c r="D2" s="2"/>
      <c r="E2" s="2"/>
      <c r="F2" s="2"/>
      <c r="G2" s="2"/>
    </row>
    <row r="3" customFormat="false" ht="12.8" hidden="false" customHeight="false" outlineLevel="0" collapsed="false">
      <c r="A3" s="3"/>
      <c r="G3" s="4"/>
    </row>
    <row r="4" customFormat="false" ht="12.8" hidden="false" customHeight="false" outlineLevel="0" collapsed="false">
      <c r="A4" s="5" t="s">
        <v>31</v>
      </c>
      <c r="B4" s="6" t="n">
        <v>300</v>
      </c>
      <c r="C4" s="18"/>
      <c r="E4" s="7" t="s">
        <v>3</v>
      </c>
      <c r="F4" s="7"/>
      <c r="G4" s="4"/>
    </row>
    <row r="5" customFormat="false" ht="12.8" hidden="false" customHeight="false" outlineLevel="0" collapsed="false">
      <c r="A5" s="5" t="s">
        <v>32</v>
      </c>
      <c r="B5" s="6" t="n">
        <v>230</v>
      </c>
      <c r="C5" s="18"/>
      <c r="E5" s="8" t="s">
        <v>5</v>
      </c>
      <c r="F5" s="5" t="s">
        <v>6</v>
      </c>
      <c r="G5" s="4"/>
    </row>
    <row r="6" customFormat="false" ht="12.8" hidden="false" customHeight="false" outlineLevel="0" collapsed="false">
      <c r="A6" s="18"/>
      <c r="B6" s="19"/>
      <c r="C6" s="18"/>
      <c r="E6" s="9" t="s">
        <v>8</v>
      </c>
      <c r="F6" s="5" t="s">
        <v>9</v>
      </c>
      <c r="G6" s="4"/>
    </row>
    <row r="7" customFormat="false" ht="12.8" hidden="false" customHeight="false" outlineLevel="0" collapsed="false">
      <c r="A7" s="18"/>
      <c r="B7" s="19"/>
      <c r="C7" s="18"/>
      <c r="E7" s="10" t="s">
        <v>11</v>
      </c>
      <c r="F7" s="5" t="s">
        <v>12</v>
      </c>
      <c r="G7" s="4"/>
    </row>
    <row r="8" customFormat="false" ht="12.8" hidden="false" customHeight="false" outlineLevel="0" collapsed="false">
      <c r="A8" s="18"/>
      <c r="B8" s="18"/>
      <c r="C8" s="18"/>
      <c r="G8" s="4"/>
    </row>
    <row r="9" customFormat="false" ht="12.8" hidden="false" customHeight="false" outlineLevel="0" collapsed="false">
      <c r="A9" s="18"/>
      <c r="B9" s="18"/>
      <c r="C9" s="18"/>
      <c r="G9" s="4"/>
    </row>
    <row r="10" customFormat="false" ht="12.8" hidden="false" customHeight="false" outlineLevel="0" collapsed="false">
      <c r="A10" s="3"/>
      <c r="G10" s="4"/>
    </row>
    <row r="11" customFormat="false" ht="12.8" hidden="false" customHeight="false" outlineLevel="0" collapsed="false">
      <c r="A11" s="3"/>
      <c r="G11" s="4"/>
    </row>
    <row r="12" customFormat="false" ht="19.7" hidden="false" customHeight="false" outlineLevel="0" collapsed="false">
      <c r="A12" s="11" t="s">
        <v>33</v>
      </c>
      <c r="B12" s="12" t="n">
        <f aca="false">B5/B4</f>
        <v>0.766666666666667</v>
      </c>
      <c r="C12" s="13"/>
      <c r="G12" s="4"/>
    </row>
    <row r="13" customFormat="false" ht="14.9" hidden="false" customHeight="false" outlineLevel="0" collapsed="false">
      <c r="A13" s="3"/>
      <c r="G13" s="4"/>
    </row>
    <row r="14" customFormat="false" ht="12.8" hidden="false" customHeight="false" outlineLevel="0" collapsed="false">
      <c r="A14" s="14"/>
      <c r="B14" s="15"/>
      <c r="C14" s="15"/>
      <c r="D14" s="15"/>
      <c r="E14" s="15"/>
      <c r="F14" s="15"/>
      <c r="G14" s="16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2026-02-21T12:14:56Z</dcterms:created>
  <dc:creator/>
  <dc:description/>
  <dc:language>en-US</dc:language>
  <cp:lastModifiedBy/>
  <dcterms:modified xsi:type="dcterms:W3CDTF">2026-02-21T16:22:42Z</dcterms:modified>
  <cp:revision>9</cp:revision>
  <dc:subject/>
  <dc:title/>
</cp:coreProperties>
</file>