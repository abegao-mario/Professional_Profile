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MI" sheetId="1" state="visible" r:id="rId2"/>
    <sheet name="CHS" sheetId="2" state="visible" r:id="rId3"/>
    <sheet name="NPS" sheetId="3" state="visible" r:id="rId4"/>
    <sheet name="CSAT" sheetId="4" state="visible" r:id="rId5"/>
    <sheet name="CES" sheetId="5" state="visible" r:id="rId6"/>
    <sheet name="FCR" sheetId="6" state="visible" r:id="rId7"/>
    <sheet name="Churn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<sst xmlns="http://schemas.openxmlformats.org/spreadsheetml/2006/main" count="114" uniqueCount="64">
  <si>
    <t xml:space="preserve">Customer Maturity Index (CMI) – (1 to 10)</t>
  </si>
  <si>
    <t xml:space="preserve">Pillar</t>
  </si>
  <si>
    <t xml:space="preserve">KPI Reference</t>
  </si>
  <si>
    <t xml:space="preserve">Weight</t>
  </si>
  <si>
    <t xml:space="preserve">Score</t>
  </si>
  <si>
    <t xml:space="preserve">Weighted Score</t>
  </si>
  <si>
    <t xml:space="preserve">Adoption </t>
  </si>
  <si>
    <t xml:space="preserve">85% of total features active or in use</t>
  </si>
  <si>
    <t xml:space="preserve">Usability</t>
  </si>
  <si>
    <t xml:space="preserve">At least 1 login per day</t>
  </si>
  <si>
    <t xml:space="preserve">Knowledge</t>
  </si>
  <si>
    <t xml:space="preserve">Less than 10 support tickets per month</t>
  </si>
  <si>
    <t xml:space="preserve">Revenue</t>
  </si>
  <si>
    <t xml:space="preserve">Payment on track / Not late / Increasing</t>
  </si>
  <si>
    <t xml:space="preserve">CMI</t>
  </si>
  <si>
    <t xml:space="preserve">Legend</t>
  </si>
  <si>
    <t xml:space="preserve">Action Required</t>
  </si>
  <si>
    <t xml:space="preserve">&lt;5</t>
  </si>
  <si>
    <t xml:space="preserve">Attention</t>
  </si>
  <si>
    <t xml:space="preserve">&gt;=5&lt;8</t>
  </si>
  <si>
    <t xml:space="preserve">Fine</t>
  </si>
  <si>
    <t xml:space="preserve">&gt;=8</t>
  </si>
  <si>
    <t xml:space="preserve">Customer Health Score (CHS)</t>
  </si>
  <si>
    <t xml:space="preserve">Consider the overall points among NPS, CSAT, CES, FCR &amp; Churn. Each one may represent +20% or -20%</t>
  </si>
  <si>
    <t xml:space="preserve">KPI</t>
  </si>
  <si>
    <t xml:space="preserve">Minimum Accepted</t>
  </si>
  <si>
    <t xml:space="preserve">Health Score</t>
  </si>
  <si>
    <t xml:space="preserve">NPS</t>
  </si>
  <si>
    <t xml:space="preserve">CSAT</t>
  </si>
  <si>
    <t xml:space="preserve">CES</t>
  </si>
  <si>
    <t xml:space="preserve">FCR</t>
  </si>
  <si>
    <t xml:space="preserve">Churn</t>
  </si>
  <si>
    <t xml:space="preserve">CHS</t>
  </si>
  <si>
    <t xml:space="preserve">&lt;=50%</t>
  </si>
  <si>
    <t xml:space="preserve">&gt;=51&lt;=74%</t>
  </si>
  <si>
    <t xml:space="preserve">&gt;=75%</t>
  </si>
  <si>
    <t xml:space="preserve">Net Promoter Score (NPS)</t>
  </si>
  <si>
    <t xml:space="preserve">On a scale of 1-10 (1 do not recommend; 10 fully recommend), how likely are you to recommend us? 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</si>
  <si>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</si>
  <si>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</si>
  <si>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</si>
  <si>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</si>
  <si>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Customer E</t>
  </si>
  <si>
    <t xml:space="preserve">Customer F</t>
  </si>
  <si>
    <t xml:space="preserve">Detractors</t>
  </si>
  <si>
    <t xml:space="preserve">Promoters</t>
  </si>
  <si>
    <t xml:space="preserve">Customer Satisfaction Score (CSAT)</t>
  </si>
  <si>
    <t xml:space="preserve">On a scale of 1-5 (1 - Very Dissatisfied; 5 - Very Satisfied), how satisfied are you with our services? </t>
  </si>
  <si>
    <t xml:space="preserve">Dissatisfied</t>
  </si>
  <si>
    <t xml:space="preserve">Satisfied</t>
  </si>
  <si>
    <t xml:space="preserve">Customer Effort Score (CES)</t>
  </si>
  <si>
    <t xml:space="preserve">On a scale of 1-5 (1 - Very Difficult; 5 - Very Easy), how easy was it to resolve your issue? </t>
  </si>
  <si>
    <t xml:space="preserve">&lt;=2</t>
  </si>
  <si>
    <t xml:space="preserve">&gt;2&lt;=3</t>
  </si>
  <si>
    <t xml:space="preserve">&gt;3</t>
  </si>
  <si>
    <t xml:space="preserve">First Contact Resolution Score (FCR)</t>
  </si>
  <si>
    <t xml:space="preserve">Has your query been closed during first contact?</t>
  </si>
  <si>
    <t xml:space="preserve">Total Tickets</t>
  </si>
  <si>
    <t xml:space="preserve">Total FCR</t>
  </si>
  <si>
    <t xml:space="preserve">ARR Churn</t>
  </si>
  <si>
    <t xml:space="preserve">Previous ARR</t>
  </si>
  <si>
    <t xml:space="preserve">Current ARR</t>
  </si>
  <si>
    <t xml:space="preserve">&lt; 3%</t>
  </si>
  <si>
    <t xml:space="preserve">&gt;= 3%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</si>
</sst>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.00"/>
    <numFmt numFmtId="167" formatCode="General"/>
    <numFmt numFmtId="168" formatCode="0.00%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  <fill>
      <patternFill patternType="solid">
        <fgColor rgb="FF2A6099"/>
        <bgColor rgb="FF666699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  <cellStyle name="Untitled3" xfId="22"/>
    <cellStyle name="Untitled4" xfId="23"/>
    <cellStyle name="Untitled5" xfId="24"/>
    <cellStyle name="Untitled6" xfId="25"/>
  </cellStyles>
  <dxfs count="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A933"/>
        </patternFill>
      </fill>
    </dxf>
    <dxf>
      <font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15"/>
    <col collapsed="false" customWidth="true" hidden="false" outlineLevel="0" max="5" min="5" style="1" width="6.95"/>
    <col collapsed="false" customWidth="true" hidden="false" outlineLevel="0" max="6" min="6" style="1" width="7.46"/>
    <col collapsed="false" customWidth="true" hidden="false" outlineLevel="0" max="7" min="7" style="1" width="9.86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3.85" hidden="false" customHeight="true" outlineLevel="0" collapsed="false">
      <c r="A2" s="3" t="s">
        <v>1</v>
      </c>
      <c r="B2" s="4" t="s">
        <v>2</v>
      </c>
      <c r="C2" s="4"/>
      <c r="D2" s="4"/>
      <c r="E2" s="4" t="s">
        <v>3</v>
      </c>
      <c r="F2" s="4" t="s">
        <v>4</v>
      </c>
      <c r="G2" s="4" t="s">
        <v>5</v>
      </c>
    </row>
    <row r="3" customFormat="false" ht="12.8" hidden="false" customHeight="true" outlineLevel="0" collapsed="false">
      <c r="A3" s="5" t="s">
        <v>6</v>
      </c>
      <c r="B3" s="6" t="s">
        <v>7</v>
      </c>
      <c r="C3" s="6"/>
      <c r="D3" s="6"/>
      <c r="E3" s="7" t="n">
        <v>0.3</v>
      </c>
      <c r="F3" s="8" t="n">
        <v>9</v>
      </c>
      <c r="G3" s="9" t="n">
        <f aca="false">F3*E3</f>
        <v>2.7</v>
      </c>
    </row>
    <row r="4" customFormat="false" ht="12.8" hidden="false" customHeight="true" outlineLevel="0" collapsed="false">
      <c r="A4" s="5" t="s">
        <v>8</v>
      </c>
      <c r="B4" s="6" t="s">
        <v>9</v>
      </c>
      <c r="C4" s="6"/>
      <c r="D4" s="6"/>
      <c r="E4" s="10" t="n">
        <v>0.2</v>
      </c>
      <c r="F4" s="11" t="n">
        <v>10</v>
      </c>
      <c r="G4" s="9" t="n">
        <f aca="false">F4*E4</f>
        <v>2</v>
      </c>
    </row>
    <row r="5" customFormat="false" ht="12.8" hidden="false" customHeight="true" outlineLevel="0" collapsed="false">
      <c r="A5" s="5" t="s">
        <v>10</v>
      </c>
      <c r="B5" s="6" t="s">
        <v>11</v>
      </c>
      <c r="C5" s="6"/>
      <c r="D5" s="6"/>
      <c r="E5" s="10" t="n">
        <v>0.2</v>
      </c>
      <c r="F5" s="11" t="n">
        <v>6</v>
      </c>
      <c r="G5" s="9" t="n">
        <f aca="false">F5*E5</f>
        <v>1.2</v>
      </c>
    </row>
    <row r="6" customFormat="false" ht="12.8" hidden="false" customHeight="true" outlineLevel="0" collapsed="false">
      <c r="A6" s="5" t="s">
        <v>12</v>
      </c>
      <c r="B6" s="6" t="s">
        <v>13</v>
      </c>
      <c r="C6" s="6"/>
      <c r="D6" s="6"/>
      <c r="E6" s="10" t="n">
        <v>0.3</v>
      </c>
      <c r="F6" s="11" t="n">
        <v>7</v>
      </c>
      <c r="G6" s="9" t="n">
        <f aca="false">F6*E6</f>
        <v>2.1</v>
      </c>
    </row>
    <row r="7" customFormat="false" ht="12.8" hidden="false" customHeight="false" outlineLevel="0" collapsed="false">
      <c r="A7" s="12"/>
      <c r="B7" s="13"/>
      <c r="C7" s="13"/>
      <c r="D7" s="13"/>
      <c r="E7" s="14"/>
      <c r="F7" s="14"/>
      <c r="G7" s="15"/>
    </row>
    <row r="8" customFormat="false" ht="19.7" hidden="false" customHeight="false" outlineLevel="0" collapsed="false">
      <c r="A8" s="16" t="s">
        <v>14</v>
      </c>
      <c r="B8" s="17" t="n">
        <f aca="false">SUM(G3:G6)</f>
        <v>8</v>
      </c>
      <c r="C8" s="13"/>
      <c r="D8" s="13"/>
      <c r="E8" s="18"/>
      <c r="F8" s="18"/>
      <c r="G8" s="15"/>
    </row>
    <row r="9" customFormat="false" ht="12.8" hidden="false" customHeight="false" outlineLevel="0" collapsed="false">
      <c r="C9" s="13"/>
      <c r="D9" s="13"/>
      <c r="E9" s="18"/>
      <c r="F9" s="18"/>
      <c r="G9" s="15"/>
    </row>
    <row r="10" customFormat="false" ht="12.8" hidden="false" customHeight="false" outlineLevel="0" collapsed="false">
      <c r="E10" s="0"/>
      <c r="F10" s="0"/>
      <c r="G10" s="15"/>
    </row>
    <row r="11" customFormat="false" ht="12.8" hidden="false" customHeight="false" outlineLevel="0" collapsed="false">
      <c r="E11" s="0"/>
      <c r="F11" s="0"/>
      <c r="G11" s="15"/>
    </row>
    <row r="12" customFormat="false" ht="12.8" hidden="false" customHeight="false" outlineLevel="0" collapsed="false">
      <c r="B12" s="19" t="s">
        <v>15</v>
      </c>
      <c r="C12" s="19"/>
      <c r="E12" s="0"/>
      <c r="F12" s="0"/>
      <c r="G12" s="15"/>
    </row>
    <row r="13" customFormat="false" ht="12.8" hidden="false" customHeight="false" outlineLevel="0" collapsed="false">
      <c r="B13" s="20" t="s">
        <v>16</v>
      </c>
      <c r="C13" s="5" t="s">
        <v>17</v>
      </c>
      <c r="E13" s="0"/>
      <c r="F13" s="0"/>
      <c r="G13" s="15"/>
    </row>
    <row r="14" customFormat="false" ht="12.8" hidden="false" customHeight="false" outlineLevel="0" collapsed="false">
      <c r="B14" s="21" t="s">
        <v>18</v>
      </c>
      <c r="C14" s="5" t="s">
        <v>19</v>
      </c>
      <c r="E14" s="0"/>
      <c r="F14" s="0"/>
      <c r="G14" s="15"/>
    </row>
    <row r="15" customFormat="false" ht="12.8" hidden="false" customHeight="false" outlineLevel="0" collapsed="false">
      <c r="A15" s="22"/>
      <c r="B15" s="23" t="s">
        <v>20</v>
      </c>
      <c r="C15" s="5" t="s">
        <v>21</v>
      </c>
      <c r="E15" s="0"/>
      <c r="F15" s="0"/>
      <c r="G15" s="15"/>
    </row>
    <row r="16" customFormat="false" ht="12.8" hidden="false" customHeight="false" outlineLevel="0" collapsed="false">
      <c r="A16" s="24"/>
      <c r="B16" s="25"/>
      <c r="C16" s="25"/>
      <c r="D16" s="25"/>
      <c r="E16" s="26"/>
      <c r="F16" s="26"/>
      <c r="G16" s="27"/>
    </row>
  </sheetData>
  <mergeCells count="8">
    <mergeCell ref="A1:G1"/>
    <mergeCell ref="B2:D2"/>
    <mergeCell ref="B3:D3"/>
    <mergeCell ref="B4:D4"/>
    <mergeCell ref="B5:D5"/>
    <mergeCell ref="B6:D6"/>
    <mergeCell ref="B7:D7"/>
    <mergeCell ref="B12:C12"/>
  </mergeCells>
  <conditionalFormatting sqref="B8">
    <cfRule type="cellIs" priority="2" operator="lessThan" aboveAverage="0" equalAverage="0" bottom="0" percent="0" rank="0" text="" dxfId="0">
      <formula>5</formula>
    </cfRule>
    <cfRule type="cellIs" priority="3" operator="between" aboveAverage="0" equalAverage="0" bottom="0" percent="0" rank="0" text="" dxfId="1">
      <formula>5</formula>
      <formula>7.9</formula>
    </cfRule>
    <cfRule type="cellIs" priority="4" operator="greaterThanOrEqual" aboveAverage="0" equalAverage="0" bottom="0" percent="0" rank="0" text="" dxfId="2">
      <formula>8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36" activeCellId="0" sqref="D3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15"/>
    <col collapsed="false" customWidth="true" hidden="false" outlineLevel="0" max="5" min="5" style="1" width="6.95"/>
    <col collapsed="false" customWidth="true" hidden="false" outlineLevel="0" max="6" min="6" style="1" width="7.46"/>
    <col collapsed="false" customWidth="true" hidden="false" outlineLevel="0" max="7" min="7" style="1" width="9.86"/>
  </cols>
  <sheetData>
    <row r="1" customFormat="false" ht="17.35" hidden="false" customHeight="false" outlineLevel="0" collapsed="false">
      <c r="A1" s="2" t="s">
        <v>22</v>
      </c>
      <c r="B1" s="2"/>
      <c r="C1" s="2"/>
      <c r="D1" s="2"/>
      <c r="E1" s="2"/>
      <c r="F1" s="2"/>
      <c r="G1" s="2"/>
    </row>
    <row r="2" customFormat="false" ht="24.4" hidden="false" customHeight="true" outlineLevel="0" collapsed="false">
      <c r="A2" s="6" t="s">
        <v>23</v>
      </c>
      <c r="B2" s="6"/>
      <c r="C2" s="6"/>
      <c r="D2" s="6"/>
      <c r="E2" s="6"/>
      <c r="F2" s="6"/>
      <c r="G2" s="6"/>
    </row>
    <row r="3" customFormat="false" ht="15" hidden="false" customHeight="false" outlineLevel="0" collapsed="false">
      <c r="A3" s="28"/>
      <c r="B3" s="29"/>
      <c r="C3" s="30"/>
      <c r="D3" s="30"/>
      <c r="E3" s="30"/>
      <c r="F3" s="30"/>
      <c r="G3" s="31"/>
    </row>
    <row r="4" customFormat="false" ht="23.85" hidden="false" customHeight="false" outlineLevel="0" collapsed="false">
      <c r="A4" s="32" t="s">
        <v>24</v>
      </c>
      <c r="B4" s="32" t="s">
        <v>4</v>
      </c>
      <c r="C4" s="32" t="s">
        <v>25</v>
      </c>
      <c r="D4" s="32" t="s">
        <v>26</v>
      </c>
      <c r="E4" s="33"/>
      <c r="F4" s="33"/>
      <c r="G4" s="34"/>
    </row>
    <row r="5" customFormat="false" ht="12.8" hidden="false" customHeight="false" outlineLevel="0" collapsed="false">
      <c r="A5" s="35" t="s">
        <v>27</v>
      </c>
      <c r="B5" s="36" t="n">
        <f aca="false">NPS!B14</f>
        <v>0.6</v>
      </c>
      <c r="C5" s="36" t="n">
        <v>0.51</v>
      </c>
      <c r="D5" s="36" t="n">
        <f aca="false">IF(B5&gt;C5,0.2,-0.2)</f>
        <v>0.2</v>
      </c>
      <c r="E5" s="37"/>
      <c r="F5" s="18"/>
      <c r="G5" s="38"/>
    </row>
    <row r="6" customFormat="false" ht="12.8" hidden="false" customHeight="false" outlineLevel="0" collapsed="false">
      <c r="A6" s="35" t="s">
        <v>28</v>
      </c>
      <c r="B6" s="36" t="n">
        <f aca="false">CSAT!B14</f>
        <v>0.5</v>
      </c>
      <c r="C6" s="36" t="n">
        <v>0.51</v>
      </c>
      <c r="D6" s="36" t="n">
        <f aca="false">IF(B6&gt;C6,0.2,-0.2)</f>
        <v>-0.2</v>
      </c>
      <c r="E6" s="39"/>
      <c r="F6" s="14"/>
      <c r="G6" s="38"/>
    </row>
    <row r="7" customFormat="false" ht="12.8" hidden="false" customHeight="false" outlineLevel="0" collapsed="false">
      <c r="A7" s="35" t="s">
        <v>29</v>
      </c>
      <c r="B7" s="40" t="n">
        <f aca="false">CES!B12</f>
        <v>3.16666666666667</v>
      </c>
      <c r="C7" s="41" t="n">
        <v>2.1</v>
      </c>
      <c r="D7" s="36" t="n">
        <f aca="false">IF(B7&gt;C7,0.2,-0.2)</f>
        <v>0.2</v>
      </c>
      <c r="E7" s="39"/>
      <c r="F7" s="14"/>
      <c r="G7" s="38"/>
    </row>
    <row r="8" customFormat="false" ht="12.8" hidden="false" customHeight="false" outlineLevel="0" collapsed="false">
      <c r="A8" s="35" t="s">
        <v>30</v>
      </c>
      <c r="B8" s="36" t="n">
        <f aca="false">FCR!B12</f>
        <v>0.766666666666667</v>
      </c>
      <c r="C8" s="36" t="n">
        <v>0.75</v>
      </c>
      <c r="D8" s="36" t="n">
        <f aca="false">IF(B8&gt;C8,0.2,-0.2)</f>
        <v>0.2</v>
      </c>
      <c r="E8" s="39"/>
      <c r="F8" s="14"/>
      <c r="G8" s="38"/>
    </row>
    <row r="9" customFormat="false" ht="12.8" hidden="false" customHeight="false" outlineLevel="0" collapsed="false">
      <c r="A9" s="35" t="s">
        <v>31</v>
      </c>
      <c r="B9" s="36" t="n">
        <f aca="false">Churn!B10</f>
        <v>-0.04</v>
      </c>
      <c r="C9" s="36" t="n">
        <v>0.03</v>
      </c>
      <c r="D9" s="36" t="n">
        <f aca="false">IF(B9&gt;C9,0.2,-0.2)</f>
        <v>-0.2</v>
      </c>
      <c r="E9" s="39"/>
      <c r="F9" s="14"/>
      <c r="G9" s="38"/>
    </row>
    <row r="10" customFormat="false" ht="12.8" hidden="false" customHeight="false" outlineLevel="0" collapsed="false">
      <c r="A10" s="12"/>
      <c r="B10" s="13"/>
      <c r="C10" s="13"/>
      <c r="D10" s="13"/>
      <c r="E10" s="14"/>
      <c r="F10" s="14"/>
      <c r="G10" s="15"/>
    </row>
    <row r="11" customFormat="false" ht="19.7" hidden="false" customHeight="false" outlineLevel="0" collapsed="false">
      <c r="A11" s="16" t="s">
        <v>32</v>
      </c>
      <c r="B11" s="42" t="n">
        <f aca="false">1-(SUM(D5:D9))</f>
        <v>0.8</v>
      </c>
      <c r="C11" s="13"/>
      <c r="D11" s="13"/>
      <c r="E11" s="18"/>
      <c r="F11" s="18"/>
      <c r="G11" s="15"/>
    </row>
    <row r="12" customFormat="false" ht="12.8" hidden="false" customHeight="false" outlineLevel="0" collapsed="false">
      <c r="C12" s="13"/>
      <c r="D12" s="13"/>
      <c r="E12" s="18"/>
      <c r="F12" s="18"/>
      <c r="G12" s="15"/>
    </row>
    <row r="13" customFormat="false" ht="12.8" hidden="false" customHeight="false" outlineLevel="0" collapsed="false">
      <c r="E13" s="0"/>
      <c r="F13" s="0"/>
      <c r="G13" s="15"/>
    </row>
    <row r="14" customFormat="false" ht="12.8" hidden="false" customHeight="false" outlineLevel="0" collapsed="false">
      <c r="E14" s="0"/>
      <c r="F14" s="0"/>
      <c r="G14" s="15"/>
    </row>
    <row r="15" customFormat="false" ht="12.8" hidden="false" customHeight="false" outlineLevel="0" collapsed="false">
      <c r="B15" s="19" t="s">
        <v>15</v>
      </c>
      <c r="C15" s="19"/>
      <c r="E15" s="0"/>
      <c r="F15" s="0"/>
      <c r="G15" s="15"/>
    </row>
    <row r="16" customFormat="false" ht="12.8" hidden="false" customHeight="false" outlineLevel="0" collapsed="false">
      <c r="B16" s="20" t="s">
        <v>16</v>
      </c>
      <c r="C16" s="5" t="s">
        <v>33</v>
      </c>
      <c r="E16" s="0"/>
      <c r="F16" s="0"/>
      <c r="G16" s="15"/>
    </row>
    <row r="17" customFormat="false" ht="12.8" hidden="false" customHeight="false" outlineLevel="0" collapsed="false">
      <c r="B17" s="21" t="s">
        <v>18</v>
      </c>
      <c r="C17" s="5" t="s">
        <v>34</v>
      </c>
      <c r="E17" s="0"/>
      <c r="F17" s="0"/>
      <c r="G17" s="15"/>
    </row>
    <row r="18" customFormat="false" ht="12.8" hidden="false" customHeight="false" outlineLevel="0" collapsed="false">
      <c r="A18" s="22"/>
      <c r="B18" s="23" t="s">
        <v>20</v>
      </c>
      <c r="C18" s="5" t="s">
        <v>35</v>
      </c>
      <c r="E18" s="0"/>
      <c r="F18" s="0"/>
      <c r="G18" s="15"/>
    </row>
    <row r="19" customFormat="false" ht="12.8" hidden="false" customHeight="false" outlineLevel="0" collapsed="false">
      <c r="A19" s="24"/>
      <c r="B19" s="25"/>
      <c r="C19" s="25"/>
      <c r="D19" s="25"/>
      <c r="E19" s="26"/>
      <c r="F19" s="26"/>
      <c r="G19" s="27"/>
    </row>
  </sheetData>
  <mergeCells count="4">
    <mergeCell ref="A1:G1"/>
    <mergeCell ref="A2:G2"/>
    <mergeCell ref="B10:D10"/>
    <mergeCell ref="B15:C15"/>
  </mergeCells>
  <conditionalFormatting sqref="B11">
    <cfRule type="cellIs" priority="2" operator="lessThanOrEqual" aboveAverage="0" equalAverage="0" bottom="0" percent="0" rank="0" text="" dxfId="0">
      <formula>0.5</formula>
    </cfRule>
    <cfRule type="cellIs" priority="3" operator="between" aboveAverage="0" equalAverage="0" bottom="0" percent="0" rank="0" text="" dxfId="1">
      <formula>0.51</formula>
      <formula>0.74</formula>
    </cfRule>
    <cfRule type="cellIs" priority="4" operator="greaterThanOrEqual" aboveAverage="0" equalAverage="0" bottom="0" percent="0" rank="0" text="" dxfId="2">
      <formula>0.75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15.42"/>
    <col collapsed="false" customWidth="true" hidden="false" outlineLevel="0" max="6" min="6" style="1" width="12.26"/>
    <col collapsed="false" customWidth="true" hidden="false" outlineLevel="0" max="7" min="7" style="1" width="2.77"/>
  </cols>
  <sheetData>
    <row r="1" customFormat="false" ht="17.35" hidden="false" customHeight="false" outlineLevel="0" collapsed="false">
      <c r="A1" s="2" t="s">
        <v>36</v>
      </c>
      <c r="B1" s="2"/>
      <c r="C1" s="2"/>
      <c r="D1" s="2"/>
      <c r="E1" s="2"/>
      <c r="F1" s="2"/>
      <c r="G1" s="2"/>
    </row>
    <row r="2" customFormat="false" ht="24.4" hidden="false" customHeight="true" outlineLevel="0" collapsed="false">
      <c r="A2" s="6" t="s">
        <v>37</v>
      </c>
      <c r="B2" s="6"/>
      <c r="C2" s="6"/>
      <c r="D2" s="6"/>
      <c r="E2" s="6"/>
      <c r="F2" s="6"/>
      <c r="G2" s="6"/>
    </row>
    <row r="3" customFormat="false" ht="12.8" hidden="false" customHeight="false" outlineLevel="0" collapsed="false">
      <c r="A3" s="22"/>
      <c r="G3" s="15"/>
    </row>
    <row r="4" customFormat="false" ht="12.8" hidden="false" customHeight="false" outlineLevel="0" collapsed="false">
      <c r="A4" s="5" t="s">
        <v>38</v>
      </c>
      <c r="B4" s="5" t="n">
        <v>5</v>
      </c>
      <c r="C4" s="5" t="str">
        <f aca="false">IF($B4&lt;=6,"Detractors",IF($B4&lt;=8,"Passives","Promoters"))</f>
        <v>Detractors</v>
      </c>
      <c r="E4" s="19" t="s">
        <v>15</v>
      </c>
      <c r="F4" s="19"/>
      <c r="G4" s="15"/>
    </row>
    <row r="5" customFormat="false" ht="12.8" hidden="false" customHeight="false" outlineLevel="0" collapsed="false">
      <c r="A5" s="5" t="s">
        <v>39</v>
      </c>
      <c r="B5" s="5" t="n">
        <v>9</v>
      </c>
      <c r="C5" s="5" t="str">
        <f aca="false">IF($B5&lt;=6,"Detractors",IF($B5&lt;=8,"Passives","Promoters"))</f>
        <v>Promoters</v>
      </c>
      <c r="E5" s="20" t="s">
        <v>16</v>
      </c>
      <c r="F5" s="5" t="s">
        <v>33</v>
      </c>
      <c r="G5" s="15"/>
    </row>
    <row r="6" customFormat="false" ht="12.8" hidden="false" customHeight="false" outlineLevel="0" collapsed="false">
      <c r="A6" s="5" t="s">
        <v>40</v>
      </c>
      <c r="B6" s="5" t="n">
        <v>10</v>
      </c>
      <c r="C6" s="5" t="str">
        <f aca="false">IF($B6&lt;=6,"Detractors",IF($B6&lt;=8,"Passives","Promoters"))</f>
        <v>Promoters</v>
      </c>
      <c r="E6" s="21" t="s">
        <v>18</v>
      </c>
      <c r="F6" s="5" t="s">
        <v>34</v>
      </c>
      <c r="G6" s="15"/>
    </row>
    <row r="7" customFormat="false" ht="12.8" hidden="false" customHeight="false" outlineLevel="0" collapsed="false">
      <c r="A7" s="5" t="s">
        <v>41</v>
      </c>
      <c r="B7" s="5" t="n">
        <v>8</v>
      </c>
      <c r="C7" s="5" t="str">
        <f aca="false">IF($B7&lt;=6,"Detractors",IF($B7&lt;=8,"Passives","Promoters"))</f>
        <v>Passives</v>
      </c>
      <c r="E7" s="23" t="s">
        <v>20</v>
      </c>
      <c r="F7" s="5" t="s">
        <v>35</v>
      </c>
      <c r="G7" s="15"/>
    </row>
    <row r="8" customFormat="false" ht="12.8" hidden="false" customHeight="false" outlineLevel="0" collapsed="false">
      <c r="A8" s="5" t="s">
        <v>42</v>
      </c>
      <c r="B8" s="5" t="n">
        <v>9</v>
      </c>
      <c r="C8" s="5" t="str">
        <f aca="false">IF($B8&lt;=6,"Detractors",IF($B8&lt;=8,"Passives","Promoters"))</f>
        <v>Promoters</v>
      </c>
      <c r="G8" s="15"/>
    </row>
    <row r="9" customFormat="false" ht="12.8" hidden="false" customHeight="false" outlineLevel="0" collapsed="false">
      <c r="A9" s="5" t="s">
        <v>43</v>
      </c>
      <c r="B9" s="5" t="n">
        <v>10</v>
      </c>
      <c r="C9" s="5" t="str">
        <f aca="false">IF($B9&lt;=6,"Detractors",IF($B9&lt;=8,"Passives","Promoters"))</f>
        <v>Promoters</v>
      </c>
      <c r="G9" s="15"/>
    </row>
    <row r="10" customFormat="false" ht="12.8" hidden="false" customHeight="false" outlineLevel="0" collapsed="false">
      <c r="A10" s="22"/>
      <c r="E10" s="0"/>
      <c r="F10" s="0"/>
      <c r="G10" s="15"/>
    </row>
    <row r="11" customFormat="false" ht="12.8" hidden="false" customHeight="false" outlineLevel="0" collapsed="false">
      <c r="A11" s="5" t="s">
        <v>44</v>
      </c>
      <c r="B11" s="5" t="n">
        <f aca="false">COUNTIF($C$4:$C$9,"Detractors")</f>
        <v>1</v>
      </c>
      <c r="E11" s="0"/>
      <c r="F11" s="0"/>
      <c r="G11" s="15"/>
    </row>
    <row r="12" customFormat="false" ht="12.8" hidden="false" customHeight="false" outlineLevel="0" collapsed="false">
      <c r="A12" s="5" t="s">
        <v>45</v>
      </c>
      <c r="B12" s="5" t="n">
        <f aca="false">COUNTIF($C$4:$C$9,"Promoters")</f>
        <v>4</v>
      </c>
      <c r="E12" s="0"/>
      <c r="F12" s="0"/>
      <c r="G12" s="15"/>
    </row>
    <row r="13" customFormat="false" ht="12.8" hidden="false" customHeight="false" outlineLevel="0" collapsed="false">
      <c r="A13" s="22"/>
      <c r="E13" s="0"/>
      <c r="F13" s="0"/>
      <c r="G13" s="15"/>
    </row>
    <row r="14" customFormat="false" ht="19.7" hidden="false" customHeight="false" outlineLevel="0" collapsed="false">
      <c r="A14" s="16" t="s">
        <v>27</v>
      </c>
      <c r="B14" s="42" t="n">
        <f aca="false">($B$12-$B$11)/SUM($B$11:$B$12)</f>
        <v>0.6</v>
      </c>
      <c r="C14" s="43"/>
      <c r="G14" s="15"/>
    </row>
    <row r="15" customFormat="false" ht="12.8" hidden="false" customHeight="false" outlineLevel="0" collapsed="false">
      <c r="A15" s="22"/>
      <c r="G15" s="15"/>
    </row>
    <row r="16" customFormat="false" ht="12.8" hidden="false" customHeight="false" outlineLevel="0" collapsed="false">
      <c r="A16" s="24"/>
      <c r="B16" s="25"/>
      <c r="C16" s="25"/>
      <c r="D16" s="25"/>
      <c r="E16" s="25"/>
      <c r="F16" s="25"/>
      <c r="G16" s="27"/>
    </row>
  </sheetData>
  <mergeCells count="3">
    <mergeCell ref="A1:G1"/>
    <mergeCell ref="A2:G2"/>
    <mergeCell ref="E4:F4"/>
  </mergeCells>
  <conditionalFormatting sqref="B14">
    <cfRule type="cellIs" priority="2" operator="lessThanOrEqual" aboveAverage="0" equalAverage="0" bottom="0" percent="0" rank="0" text="" dxfId="0">
      <formula>0.5</formula>
    </cfRule>
    <cfRule type="cellIs" priority="3" operator="between" aboveAverage="0" equalAverage="0" bottom="0" percent="0" rank="0" text="" dxfId="1">
      <formula>0.51</formula>
      <formula>0.74</formula>
    </cfRule>
    <cfRule type="cellIs" priority="4" operator="greaterThanOrEqual" aboveAverage="0" equalAverage="0" bottom="0" percent="0" rank="0" text="" dxfId="2">
      <formula>0.75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4" activeCellId="0" sqref="E4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15.42"/>
    <col collapsed="false" customWidth="true" hidden="false" outlineLevel="0" max="6" min="6" style="1" width="12.26"/>
    <col collapsed="false" customWidth="true" hidden="false" outlineLevel="0" max="7" min="7" style="1" width="2.77"/>
  </cols>
  <sheetData>
    <row r="1" customFormat="false" ht="17.35" hidden="false" customHeight="false" outlineLevel="0" collapsed="false">
      <c r="A1" s="2" t="s">
        <v>46</v>
      </c>
      <c r="B1" s="2"/>
      <c r="C1" s="2"/>
      <c r="D1" s="2"/>
      <c r="E1" s="2"/>
      <c r="F1" s="2"/>
      <c r="G1" s="2"/>
    </row>
    <row r="2" customFormat="false" ht="24.4" hidden="false" customHeight="true" outlineLevel="0" collapsed="false">
      <c r="A2" s="6" t="s">
        <v>47</v>
      </c>
      <c r="B2" s="6"/>
      <c r="C2" s="6"/>
      <c r="D2" s="6"/>
      <c r="E2" s="6"/>
      <c r="F2" s="6"/>
      <c r="G2" s="6"/>
    </row>
    <row r="3" customFormat="false" ht="12.8" hidden="false" customHeight="false" outlineLevel="0" collapsed="false">
      <c r="A3" s="22"/>
      <c r="G3" s="15"/>
    </row>
    <row r="4" customFormat="false" ht="12.8" hidden="false" customHeight="false" outlineLevel="0" collapsed="false">
      <c r="A4" s="5" t="s">
        <v>38</v>
      </c>
      <c r="B4" s="5" t="n">
        <v>5</v>
      </c>
      <c r="C4" s="5" t="str">
        <f aca="false">IF($B4&lt;=2,"Dissatisfied",IF($B4&lt;=3,"Passives","Satisfied"))</f>
        <v>Satisfied</v>
      </c>
      <c r="E4" s="19" t="s">
        <v>15</v>
      </c>
      <c r="F4" s="19"/>
      <c r="G4" s="15"/>
    </row>
    <row r="5" customFormat="false" ht="12.8" hidden="false" customHeight="false" outlineLevel="0" collapsed="false">
      <c r="A5" s="5" t="s">
        <v>39</v>
      </c>
      <c r="B5" s="5" t="n">
        <v>3</v>
      </c>
      <c r="C5" s="5" t="str">
        <f aca="false">IF($B5&lt;=2,"Dissatisfied",IF($B5&lt;=3,"Passives","Satisfied"))</f>
        <v>Passives</v>
      </c>
      <c r="E5" s="20" t="s">
        <v>16</v>
      </c>
      <c r="F5" s="5" t="s">
        <v>33</v>
      </c>
      <c r="G5" s="15"/>
    </row>
    <row r="6" customFormat="false" ht="12.8" hidden="false" customHeight="false" outlineLevel="0" collapsed="false">
      <c r="A6" s="5" t="s">
        <v>40</v>
      </c>
      <c r="B6" s="5" t="n">
        <v>3</v>
      </c>
      <c r="C6" s="5" t="str">
        <f aca="false">IF($B6&lt;=2,"Dissatisfied",IF($B6&lt;=3,"Passives","Satisfied"))</f>
        <v>Passives</v>
      </c>
      <c r="E6" s="21" t="s">
        <v>18</v>
      </c>
      <c r="F6" s="5" t="s">
        <v>34</v>
      </c>
      <c r="G6" s="15"/>
    </row>
    <row r="7" customFormat="false" ht="12.8" hidden="false" customHeight="false" outlineLevel="0" collapsed="false">
      <c r="A7" s="5" t="s">
        <v>41</v>
      </c>
      <c r="B7" s="5" t="n">
        <v>1</v>
      </c>
      <c r="C7" s="5" t="str">
        <f aca="false">IF($B7&lt;=2,"Dissatisfied",IF($B7&lt;=3,"Passives","Satisfied"))</f>
        <v>Dissatisfied</v>
      </c>
      <c r="E7" s="23" t="s">
        <v>20</v>
      </c>
      <c r="F7" s="5" t="s">
        <v>35</v>
      </c>
      <c r="G7" s="15"/>
    </row>
    <row r="8" customFormat="false" ht="12.8" hidden="false" customHeight="false" outlineLevel="0" collapsed="false">
      <c r="A8" s="5" t="s">
        <v>42</v>
      </c>
      <c r="B8" s="5" t="n">
        <v>4</v>
      </c>
      <c r="C8" s="5" t="str">
        <f aca="false">IF($B8&lt;=2,"Dissatisfied",IF($B8&lt;=3,"Passives","Satisfied"))</f>
        <v>Satisfied</v>
      </c>
      <c r="G8" s="15"/>
    </row>
    <row r="9" customFormat="false" ht="12.8" hidden="false" customHeight="false" outlineLevel="0" collapsed="false">
      <c r="A9" s="5" t="s">
        <v>43</v>
      </c>
      <c r="B9" s="5" t="n">
        <v>5</v>
      </c>
      <c r="C9" s="5" t="str">
        <f aca="false">IF($B9&lt;=2,"Dissatisfied",IF($B9&lt;=3,"Passives","Satisfied"))</f>
        <v>Satisfied</v>
      </c>
      <c r="G9" s="15"/>
    </row>
    <row r="10" customFormat="false" ht="12.8" hidden="false" customHeight="false" outlineLevel="0" collapsed="false">
      <c r="A10" s="22"/>
      <c r="G10" s="15"/>
    </row>
    <row r="11" customFormat="false" ht="12.8" hidden="false" customHeight="false" outlineLevel="0" collapsed="false">
      <c r="A11" s="5" t="s">
        <v>48</v>
      </c>
      <c r="B11" s="5" t="n">
        <f aca="false">COUNTIF($C$4:$C$9,"Dissatisfied")</f>
        <v>1</v>
      </c>
      <c r="G11" s="15"/>
    </row>
    <row r="12" customFormat="false" ht="12.8" hidden="false" customHeight="false" outlineLevel="0" collapsed="false">
      <c r="A12" s="5" t="s">
        <v>49</v>
      </c>
      <c r="B12" s="5" t="n">
        <f aca="false">COUNTIF($C$4:$C$9,"Satisfied")</f>
        <v>3</v>
      </c>
      <c r="G12" s="15"/>
    </row>
    <row r="13" customFormat="false" ht="12.8" hidden="false" customHeight="false" outlineLevel="0" collapsed="false">
      <c r="A13" s="22"/>
      <c r="G13" s="15"/>
    </row>
    <row r="14" customFormat="false" ht="19.7" hidden="false" customHeight="false" outlineLevel="0" collapsed="false">
      <c r="A14" s="16" t="s">
        <v>28</v>
      </c>
      <c r="B14" s="42" t="n">
        <f aca="false">($B$12-$B$11)/SUM($B$11:$B$12)</f>
        <v>0.5</v>
      </c>
      <c r="C14" s="43"/>
      <c r="G14" s="15"/>
    </row>
    <row r="15" customFormat="false" ht="12.8" hidden="false" customHeight="false" outlineLevel="0" collapsed="false">
      <c r="A15" s="22"/>
      <c r="G15" s="15"/>
    </row>
    <row r="16" customFormat="false" ht="12.8" hidden="false" customHeight="false" outlineLevel="0" collapsed="false">
      <c r="A16" s="24"/>
      <c r="B16" s="25"/>
      <c r="C16" s="25"/>
      <c r="D16" s="25"/>
      <c r="E16" s="25"/>
      <c r="F16" s="25"/>
      <c r="G16" s="27"/>
    </row>
  </sheetData>
  <mergeCells count="3">
    <mergeCell ref="A1:G1"/>
    <mergeCell ref="A2:G2"/>
    <mergeCell ref="E4:F4"/>
  </mergeCells>
  <conditionalFormatting sqref="B14">
    <cfRule type="cellIs" priority="2" operator="lessThanOrEqual" aboveAverage="0" equalAverage="0" bottom="0" percent="0" rank="0" text="" dxfId="0">
      <formula>0.5</formula>
    </cfRule>
    <cfRule type="cellIs" priority="3" operator="between" aboveAverage="0" equalAverage="0" bottom="0" percent="0" rank="0" text="" dxfId="1">
      <formula>0.51</formula>
      <formula>0.74</formula>
    </cfRule>
    <cfRule type="cellIs" priority="4" operator="greaterThanOrEqual" aboveAverage="0" equalAverage="0" bottom="0" percent="0" rank="0" text="" dxfId="2">
      <formula>0.75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37" activeCellId="0" sqref="D37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15.42"/>
    <col collapsed="false" customWidth="true" hidden="false" outlineLevel="0" max="6" min="6" style="1" width="12.26"/>
    <col collapsed="false" customWidth="true" hidden="false" outlineLevel="0" max="7" min="7" style="1" width="2.77"/>
  </cols>
  <sheetData>
    <row r="1" customFormat="false" ht="17.35" hidden="false" customHeight="false" outlineLevel="0" collapsed="false">
      <c r="A1" s="2" t="s">
        <v>50</v>
      </c>
      <c r="B1" s="2"/>
      <c r="C1" s="2"/>
      <c r="D1" s="2"/>
      <c r="E1" s="2"/>
      <c r="F1" s="2"/>
      <c r="G1" s="2"/>
    </row>
    <row r="2" customFormat="false" ht="12.8" hidden="false" customHeight="true" outlineLevel="0" collapsed="false">
      <c r="A2" s="6" t="s">
        <v>51</v>
      </c>
      <c r="B2" s="6"/>
      <c r="C2" s="6"/>
      <c r="D2" s="6"/>
      <c r="E2" s="6"/>
      <c r="F2" s="6"/>
      <c r="G2" s="6"/>
    </row>
    <row r="3" customFormat="false" ht="12.8" hidden="false" customHeight="false" outlineLevel="0" collapsed="false">
      <c r="A3" s="22"/>
      <c r="G3" s="15"/>
    </row>
    <row r="4" customFormat="false" ht="12.8" hidden="false" customHeight="false" outlineLevel="0" collapsed="false">
      <c r="A4" s="5" t="s">
        <v>38</v>
      </c>
      <c r="B4" s="5" t="n">
        <v>3</v>
      </c>
      <c r="C4" s="5" t="str">
        <f aca="false">IF($B4&lt;=2,"Difficult",IF($B4&lt;=3,"Regular","Easy"))</f>
        <v>Regular</v>
      </c>
      <c r="E4" s="19" t="s">
        <v>15</v>
      </c>
      <c r="F4" s="19"/>
      <c r="G4" s="15"/>
    </row>
    <row r="5" customFormat="false" ht="12.8" hidden="false" customHeight="false" outlineLevel="0" collapsed="false">
      <c r="A5" s="5" t="s">
        <v>39</v>
      </c>
      <c r="B5" s="5" t="n">
        <v>4</v>
      </c>
      <c r="C5" s="5" t="str">
        <f aca="false">IF($B5&lt;=2,"Difficult",IF($B5&lt;=3,"Regular","Easy"))</f>
        <v>Easy</v>
      </c>
      <c r="E5" s="20" t="s">
        <v>16</v>
      </c>
      <c r="F5" s="5" t="s">
        <v>52</v>
      </c>
      <c r="G5" s="15"/>
    </row>
    <row r="6" customFormat="false" ht="12.8" hidden="false" customHeight="false" outlineLevel="0" collapsed="false">
      <c r="A6" s="5" t="s">
        <v>40</v>
      </c>
      <c r="B6" s="5" t="n">
        <v>5</v>
      </c>
      <c r="C6" s="5" t="str">
        <f aca="false">IF($B6&lt;=2,"Difficult",IF($B6&lt;=3,"Regular","Easy"))</f>
        <v>Easy</v>
      </c>
      <c r="E6" s="21" t="s">
        <v>18</v>
      </c>
      <c r="F6" s="5" t="s">
        <v>53</v>
      </c>
      <c r="G6" s="15"/>
    </row>
    <row r="7" customFormat="false" ht="12.8" hidden="false" customHeight="false" outlineLevel="0" collapsed="false">
      <c r="A7" s="5" t="s">
        <v>41</v>
      </c>
      <c r="B7" s="5" t="n">
        <v>2</v>
      </c>
      <c r="C7" s="5" t="str">
        <f aca="false">IF($B7&lt;=2,"Difficult",IF($B7&lt;=3,"Regular","Easy"))</f>
        <v>Difficult</v>
      </c>
      <c r="E7" s="23" t="s">
        <v>20</v>
      </c>
      <c r="F7" s="5" t="s">
        <v>54</v>
      </c>
      <c r="G7" s="15"/>
    </row>
    <row r="8" customFormat="false" ht="12.8" hidden="false" customHeight="false" outlineLevel="0" collapsed="false">
      <c r="A8" s="5" t="s">
        <v>42</v>
      </c>
      <c r="B8" s="5" t="n">
        <v>2</v>
      </c>
      <c r="C8" s="5" t="str">
        <f aca="false">IF($B8&lt;=2,"Difficult",IF($B8&lt;=3,"Regular","Easy"))</f>
        <v>Difficult</v>
      </c>
      <c r="G8" s="15"/>
    </row>
    <row r="9" customFormat="false" ht="12.8" hidden="false" customHeight="false" outlineLevel="0" collapsed="false">
      <c r="A9" s="5" t="s">
        <v>43</v>
      </c>
      <c r="B9" s="5" t="n">
        <v>3</v>
      </c>
      <c r="C9" s="5" t="str">
        <f aca="false">IF($B9&lt;=2,"Difficult",IF($B9&lt;=3,"Regular","Easy"))</f>
        <v>Regular</v>
      </c>
      <c r="G9" s="15"/>
    </row>
    <row r="10" customFormat="false" ht="12.8" hidden="false" customHeight="false" outlineLevel="0" collapsed="false">
      <c r="A10" s="22"/>
      <c r="G10" s="15"/>
    </row>
    <row r="11" customFormat="false" ht="12.8" hidden="false" customHeight="false" outlineLevel="0" collapsed="false">
      <c r="A11" s="22"/>
      <c r="G11" s="15"/>
    </row>
    <row r="12" customFormat="false" ht="19.7" hidden="false" customHeight="false" outlineLevel="0" collapsed="false">
      <c r="A12" s="16" t="s">
        <v>29</v>
      </c>
      <c r="B12" s="44" t="n">
        <f aca="false">AVERAGE(B4:B9)</f>
        <v>3.16666666666667</v>
      </c>
      <c r="C12" s="43"/>
      <c r="G12" s="15"/>
    </row>
    <row r="13" customFormat="false" ht="14.9" hidden="false" customHeight="false" outlineLevel="0" collapsed="false">
      <c r="A13" s="22"/>
      <c r="G13" s="15"/>
    </row>
    <row r="14" customFormat="false" ht="12.8" hidden="false" customHeight="false" outlineLevel="0" collapsed="false">
      <c r="A14" s="24"/>
      <c r="B14" s="25"/>
      <c r="C14" s="25"/>
      <c r="D14" s="25"/>
      <c r="E14" s="25"/>
      <c r="F14" s="25"/>
      <c r="G14" s="27"/>
    </row>
  </sheetData>
  <mergeCells count="3">
    <mergeCell ref="A1:G1"/>
    <mergeCell ref="A2:G2"/>
    <mergeCell ref="E4:F4"/>
  </mergeCells>
  <conditionalFormatting sqref="B12">
    <cfRule type="cellIs" priority="2" operator="lessThanOrEqual" aboveAverage="0" equalAverage="0" bottom="0" percent="0" rank="0" text="" dxfId="0">
      <formula>2</formula>
    </cfRule>
    <cfRule type="cellIs" priority="3" operator="between" aboveAverage="0" equalAverage="0" bottom="0" percent="0" rank="0" text="" dxfId="1">
      <formula>2.01</formula>
      <formula>3</formula>
    </cfRule>
    <cfRule type="cellIs" priority="4" operator="greaterThan" aboveAverage="0" equalAverage="0" bottom="0" percent="0" rank="0" text="" dxfId="2">
      <formula>3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J29" activeCellId="0" sqref="J29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15.42"/>
    <col collapsed="false" customWidth="true" hidden="false" outlineLevel="0" max="6" min="6" style="1" width="12.26"/>
    <col collapsed="false" customWidth="true" hidden="false" outlineLevel="0" max="7" min="7" style="1" width="2.77"/>
  </cols>
  <sheetData>
    <row r="1" customFormat="false" ht="17.35" hidden="false" customHeight="false" outlineLevel="0" collapsed="false">
      <c r="A1" s="2" t="s">
        <v>55</v>
      </c>
      <c r="B1" s="2"/>
      <c r="C1" s="2"/>
      <c r="D1" s="2"/>
      <c r="E1" s="2"/>
      <c r="F1" s="2"/>
      <c r="G1" s="2"/>
    </row>
    <row r="2" customFormat="false" ht="12.8" hidden="false" customHeight="true" outlineLevel="0" collapsed="false">
      <c r="A2" s="6" t="s">
        <v>56</v>
      </c>
      <c r="B2" s="6"/>
      <c r="C2" s="6"/>
      <c r="D2" s="6"/>
      <c r="E2" s="6"/>
      <c r="F2" s="6"/>
      <c r="G2" s="6"/>
    </row>
    <row r="3" customFormat="false" ht="12.8" hidden="false" customHeight="false" outlineLevel="0" collapsed="false">
      <c r="A3" s="22"/>
      <c r="G3" s="15"/>
    </row>
    <row r="4" customFormat="false" ht="12.8" hidden="false" customHeight="false" outlineLevel="0" collapsed="false">
      <c r="A4" s="5" t="s">
        <v>57</v>
      </c>
      <c r="B4" s="5" t="n">
        <v>300</v>
      </c>
      <c r="C4" s="18"/>
      <c r="E4" s="19" t="s">
        <v>15</v>
      </c>
      <c r="F4" s="19"/>
      <c r="G4" s="15"/>
    </row>
    <row r="5" customFormat="false" ht="12.8" hidden="false" customHeight="false" outlineLevel="0" collapsed="false">
      <c r="A5" s="5" t="s">
        <v>58</v>
      </c>
      <c r="B5" s="5" t="n">
        <v>230</v>
      </c>
      <c r="C5" s="18"/>
      <c r="E5" s="20" t="s">
        <v>16</v>
      </c>
      <c r="F5" s="5" t="s">
        <v>33</v>
      </c>
      <c r="G5" s="15"/>
    </row>
    <row r="6" customFormat="false" ht="12.8" hidden="false" customHeight="false" outlineLevel="0" collapsed="false">
      <c r="A6" s="18"/>
      <c r="B6" s="18"/>
      <c r="C6" s="18"/>
      <c r="E6" s="21" t="s">
        <v>18</v>
      </c>
      <c r="F6" s="5" t="s">
        <v>34</v>
      </c>
      <c r="G6" s="15"/>
    </row>
    <row r="7" customFormat="false" ht="12.8" hidden="false" customHeight="false" outlineLevel="0" collapsed="false">
      <c r="A7" s="18"/>
      <c r="B7" s="18"/>
      <c r="C7" s="18"/>
      <c r="E7" s="23" t="s">
        <v>20</v>
      </c>
      <c r="F7" s="5" t="s">
        <v>35</v>
      </c>
      <c r="G7" s="15"/>
    </row>
    <row r="8" customFormat="false" ht="12.8" hidden="false" customHeight="false" outlineLevel="0" collapsed="false">
      <c r="A8" s="18"/>
      <c r="B8" s="18"/>
      <c r="C8" s="18"/>
      <c r="G8" s="15"/>
    </row>
    <row r="9" customFormat="false" ht="12.8" hidden="false" customHeight="false" outlineLevel="0" collapsed="false">
      <c r="A9" s="18"/>
      <c r="B9" s="18"/>
      <c r="C9" s="18"/>
      <c r="G9" s="15"/>
    </row>
    <row r="10" customFormat="false" ht="12.8" hidden="false" customHeight="false" outlineLevel="0" collapsed="false">
      <c r="A10" s="22"/>
      <c r="G10" s="15"/>
    </row>
    <row r="11" customFormat="false" ht="12.8" hidden="false" customHeight="false" outlineLevel="0" collapsed="false">
      <c r="A11" s="22"/>
      <c r="G11" s="15"/>
    </row>
    <row r="12" customFormat="false" ht="19.7" hidden="false" customHeight="false" outlineLevel="0" collapsed="false">
      <c r="A12" s="16" t="s">
        <v>30</v>
      </c>
      <c r="B12" s="42" t="n">
        <f aca="false">B5/B4</f>
        <v>0.766666666666667</v>
      </c>
      <c r="C12" s="43"/>
      <c r="G12" s="15"/>
    </row>
    <row r="13" customFormat="false" ht="14.9" hidden="false" customHeight="false" outlineLevel="0" collapsed="false">
      <c r="A13" s="22"/>
      <c r="G13" s="15"/>
    </row>
    <row r="14" customFormat="false" ht="12.8" hidden="false" customHeight="false" outlineLevel="0" collapsed="false">
      <c r="A14" s="24"/>
      <c r="B14" s="25"/>
      <c r="C14" s="25"/>
      <c r="D14" s="25"/>
      <c r="E14" s="25"/>
      <c r="F14" s="25"/>
      <c r="G14" s="27"/>
    </row>
  </sheetData>
  <mergeCells count="3">
    <mergeCell ref="A1:G1"/>
    <mergeCell ref="A2:G2"/>
    <mergeCell ref="E4:F4"/>
  </mergeCells>
  <conditionalFormatting sqref="B12">
    <cfRule type="cellIs" priority="2" operator="lessThanOrEqual" aboveAverage="0" equalAverage="0" bottom="0" percent="0" rank="0" text="" dxfId="0">
      <formula>0.5</formula>
    </cfRule>
    <cfRule type="cellIs" priority="3" operator="between" aboveAverage="0" equalAverage="0" bottom="0" percent="0" rank="0" text="" dxfId="1">
      <formula>0.51</formula>
      <formula>0.74</formula>
    </cfRule>
    <cfRule type="cellIs" priority="4" operator="greaterThanOrEqual" aboveAverage="0" equalAverage="0" bottom="0" percent="0" rank="0" text="" dxfId="2">
      <formula>0.75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7" activeCellId="0" sqref="E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55"/>
    <col collapsed="false" customWidth="true" hidden="false" outlineLevel="0" max="5" min="5" style="1" width="15.42"/>
    <col collapsed="false" customWidth="true" hidden="false" outlineLevel="0" max="6" min="6" style="1" width="12.26"/>
    <col collapsed="false" customWidth="true" hidden="false" outlineLevel="0" max="7" min="7" style="1" width="2.77"/>
  </cols>
  <sheetData>
    <row r="1" customFormat="false" ht="17.35" hidden="false" customHeight="false" outlineLevel="0" collapsed="false">
      <c r="A1" s="2" t="s">
        <v>59</v>
      </c>
      <c r="B1" s="2"/>
      <c r="C1" s="2"/>
      <c r="D1" s="2"/>
      <c r="E1" s="2"/>
      <c r="F1" s="2"/>
      <c r="G1" s="2"/>
    </row>
    <row r="2" customFormat="false" ht="12.8" hidden="false" customHeight="false" outlineLevel="0" collapsed="false">
      <c r="A2" s="22"/>
      <c r="G2" s="15"/>
    </row>
    <row r="3" customFormat="false" ht="12.8" hidden="false" customHeight="false" outlineLevel="0" collapsed="false">
      <c r="A3" s="5" t="s">
        <v>60</v>
      </c>
      <c r="B3" s="9" t="n">
        <v>25000</v>
      </c>
      <c r="C3" s="18"/>
      <c r="E3" s="19" t="s">
        <v>15</v>
      </c>
      <c r="F3" s="19"/>
      <c r="G3" s="15"/>
    </row>
    <row r="4" customFormat="false" ht="12.8" hidden="false" customHeight="false" outlineLevel="0" collapsed="false">
      <c r="A4" s="5" t="s">
        <v>61</v>
      </c>
      <c r="B4" s="9" t="n">
        <v>24000</v>
      </c>
      <c r="C4" s="18"/>
      <c r="E4" s="20" t="s">
        <v>16</v>
      </c>
      <c r="F4" s="5" t="s">
        <v>62</v>
      </c>
      <c r="G4" s="15"/>
    </row>
    <row r="5" customFormat="false" ht="12.8" hidden="false" customHeight="false" outlineLevel="0" collapsed="false">
      <c r="A5" s="18"/>
      <c r="B5" s="18"/>
      <c r="C5" s="18"/>
      <c r="E5" s="23" t="s">
        <v>20</v>
      </c>
      <c r="F5" s="5" t="s">
        <v>63</v>
      </c>
      <c r="G5" s="15"/>
    </row>
    <row r="6" customFormat="false" ht="12.8" hidden="false" customHeight="false" outlineLevel="0" collapsed="false">
      <c r="A6" s="18"/>
      <c r="B6" s="18"/>
      <c r="C6" s="18"/>
      <c r="G6" s="15"/>
    </row>
    <row r="7" customFormat="false" ht="12.8" hidden="false" customHeight="false" outlineLevel="0" collapsed="false">
      <c r="A7" s="18"/>
      <c r="B7" s="18"/>
      <c r="C7" s="18"/>
      <c r="G7" s="15"/>
    </row>
    <row r="8" customFormat="false" ht="12.8" hidden="false" customHeight="false" outlineLevel="0" collapsed="false">
      <c r="A8" s="22"/>
      <c r="G8" s="15"/>
    </row>
    <row r="9" customFormat="false" ht="12.8" hidden="false" customHeight="false" outlineLevel="0" collapsed="false">
      <c r="A9" s="22"/>
      <c r="G9" s="15"/>
    </row>
    <row r="10" customFormat="false" ht="19.7" hidden="false" customHeight="false" outlineLevel="0" collapsed="false">
      <c r="A10" s="16" t="s">
        <v>31</v>
      </c>
      <c r="B10" s="42" t="n">
        <f aca="false">(B4-B3)/B3</f>
        <v>-0.04</v>
      </c>
      <c r="C10" s="43"/>
      <c r="G10" s="15"/>
    </row>
    <row r="11" customFormat="false" ht="12.8" hidden="false" customHeight="false" outlineLevel="0" collapsed="false">
      <c r="A11" s="22"/>
      <c r="G11" s="15"/>
    </row>
    <row r="12" customFormat="false" ht="12.8" hidden="false" customHeight="false" outlineLevel="0" collapsed="false">
      <c r="A12" s="24"/>
      <c r="B12" s="25"/>
      <c r="C12" s="25"/>
      <c r="D12" s="25"/>
      <c r="E12" s="25"/>
      <c r="F12" s="25"/>
      <c r="G12" s="27"/>
    </row>
  </sheetData>
  <mergeCells count="2">
    <mergeCell ref="A1:G1"/>
    <mergeCell ref="E3:F3"/>
  </mergeCells>
  <conditionalFormatting sqref="B10">
    <cfRule type="cellIs" priority="2" operator="lessThan" aboveAverage="0" equalAverage="0" bottom="0" percent="0" rank="0" text="" dxfId="0">
      <formula>- 0.03</formula>
    </cfRule>
    <cfRule type="cellIs" priority="3" operator="greaterThanOrEqual" aboveAverage="0" equalAverage="0" bottom="0" percent="0" rank="0" text="" dxfId="2">
      <formula>- 0.03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2026-02-21T12:14:56Z</dcterms:created>
  <dc:creator/>
  <dc:description/>
  <dc:language>en-US</dc:language>
  <cp:lastModifiedBy/>
  <dcterms:modified xsi:type="dcterms:W3CDTF">2026-02-24T17:22:59Z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