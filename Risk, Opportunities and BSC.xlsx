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Version Controll" sheetId="1" state="visible" r:id="rId2"/>
    <sheet name="Risks" sheetId="2" state="visible" r:id="rId3"/>
    <sheet name="Opportunities" sheetId="3" state="visible" r:id="rId4"/>
    <sheet name="BSC" sheetId="4" state="visible"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E4" authorId="0">
      <text>
        <r>
          <rPr>
            <sz val="11"/>
            <color rgb="FF000000"/>
            <rFont val="Calibri"/>
            <family val="2"/>
            <charset val="1"/>
          </rPr>
          <t xml:space="preserve">Mario Abegao Luis de Oliveira:
</t>
        </r>
        <r>
          <rPr>
            <sz val="9"/>
            <color rgb="FF000000"/>
            <rFont val="Segoe UI"/>
            <family val="2"/>
            <charset val="1"/>
          </rPr>
          <t xml:space="preserve">1: Very Low
2: Low
3: Medium
4: High
5: Very High</t>
        </r>
      </text>
    </comment>
    <comment ref="G4" authorId="0">
      <text>
        <r>
          <rPr>
            <sz val="11"/>
            <color rgb="FF000000"/>
            <rFont val="Calibri"/>
            <family val="2"/>
            <charset val="1"/>
          </rPr>
          <t xml:space="preserve">Mário Luiz de Oliveira Abegão:
</t>
        </r>
        <r>
          <rPr>
            <sz val="9"/>
            <color rgb="FF000000"/>
            <rFont val="Tahoma"/>
            <family val="2"/>
            <charset val="1"/>
          </rPr>
          <t xml:space="preserve">1: Very Low
2: Low
3: Medium
4: High
5: Very High</t>
        </r>
      </text>
    </comment>
    <comment ref="H4" authorId="0">
      <text>
        <r>
          <rPr>
            <sz val="11"/>
            <color rgb="FF000000"/>
            <rFont val="Calibri"/>
            <family val="2"/>
            <charset val="1"/>
          </rPr>
          <t xml:space="preserve">Mário Luiz de Oliveira Abegão:
</t>
        </r>
        <r>
          <rPr>
            <sz val="9"/>
            <color rgb="FF000000"/>
            <rFont val="Tahoma"/>
            <family val="2"/>
            <charset val="1"/>
          </rPr>
          <t xml:space="preserve">1: Very Low
2: Low
3: Medium
4: High
5: Very High</t>
        </r>
      </text>
    </comment>
  </commentList>
</comments>
</file>

<file path=xl/comments3.xml><?xml version="1.0" encoding="utf-8"?>
<comments xmlns="http://schemas.openxmlformats.org/spreadsheetml/2006/main" xmlns:xdr="http://schemas.openxmlformats.org/drawingml/2006/spreadsheetDrawing">
  <authors>
    <author> </author>
  </authors>
  <commentList>
    <comment ref="D4" authorId="0">
      <text>
        <r>
          <rPr>
            <sz val="11"/>
            <color rgb="FF000000"/>
            <rFont val="Calibri"/>
            <family val="2"/>
            <charset val="1"/>
          </rPr>
          <t xml:space="preserve">Mario Abegao Luis de Oliveira:
</t>
        </r>
        <r>
          <rPr>
            <sz val="9"/>
            <color rgb="FF000000"/>
            <rFont val="Segoe UI"/>
            <family val="2"/>
            <charset val="1"/>
          </rPr>
          <t xml:space="preserve">1: Very Low
2: Low
3: Medium
4: High
5: Very High</t>
        </r>
      </text>
    </comment>
    <comment ref="E4" authorId="0">
      <text>
        <r>
          <rPr>
            <sz val="11"/>
            <color rgb="FF000000"/>
            <rFont val="Calibri"/>
            <family val="2"/>
            <charset val="1"/>
          </rPr>
          <t xml:space="preserve">Mario Abegao Luis de Oliveira:
</t>
        </r>
        <r>
          <rPr>
            <sz val="9"/>
            <color rgb="FF000000"/>
            <rFont val="Segoe UI"/>
            <family val="2"/>
            <charset val="1"/>
          </rPr>
          <t xml:space="preserve">1: Very Low
2: Low
3: Medium
4: High
5: Very High</t>
        </r>
      </text>
    </comment>
    <comment ref="G4" authorId="0">
      <text>
        <r>
          <rPr>
            <sz val="11"/>
            <color rgb="FF000000"/>
            <rFont val="Calibri"/>
            <family val="2"/>
            <charset val="1"/>
          </rPr>
          <t xml:space="preserve">Mário Luiz de Oliveira Abegão:
</t>
        </r>
        <r>
          <rPr>
            <sz val="9"/>
            <color rgb="FF000000"/>
            <rFont val="Tahoma"/>
            <family val="2"/>
            <charset val="1"/>
          </rPr>
          <t xml:space="preserve">1: Very Low
2: Low
3: Medium
4: High
5: Very High</t>
        </r>
      </text>
    </comment>
    <comment ref="H4" authorId="0">
      <text>
        <r>
          <rPr>
            <sz val="11"/>
            <color rgb="FF000000"/>
            <rFont val="Calibri"/>
            <family val="2"/>
            <charset val="1"/>
          </rPr>
          <t xml:space="preserve">Mário Luiz de Oliveira Abegão:
</t>
        </r>
        <r>
          <rPr>
            <sz val="9"/>
            <color rgb="FF000000"/>
            <rFont val="Tahoma"/>
            <family val="2"/>
            <charset val="1"/>
          </rPr>
          <t xml:space="preserve">1: Very Low
2: Low
3: Medium
4: High
5: Very High</t>
        </r>
      </text>
    </comment>
  </commentList>
</comments>
</file>

<file path=xl/sharedStrings.xml><?xml version="1.0" encoding="utf-8"?>
<sst xmlns="http://schemas.openxmlformats.org/spreadsheetml/2006/main" count="153" uniqueCount="108">
  <si>
    <t xml:space="preserve">Author</t>
  </si>
  <si>
    <t xml:space="preserve">Data</t>
  </si>
  <si>
    <t xml:space="preserve">Changes</t>
  </si>
  <si>
    <t xml:space="preserve">Version</t>
  </si>
  <si>
    <t xml:space="preserve">Mário Abegão</t>
  </si>
  <si>
    <t xml:space="preserve">First verstion</t>
  </si>
  <si>
    <t xml:space="preserve">1.0</t>
  </si>
  <si>
    <t xml:space="preserve">Review</t>
  </si>
  <si>
    <t xml:space="preserve">1.1</t>
  </si>
  <si>
    <t xml:space="preserve">Review and alignment with BSC Project Control</t>
  </si>
  <si>
    <t xml:space="preserve">1.2</t>
  </si>
  <si>
    <t xml:space="preserve">1.3</t>
  </si>
  <si>
    <t xml:space="preserve">Low Impact</t>
  </si>
  <si>
    <t xml:space="preserve">Medium Impact</t>
  </si>
  <si>
    <t xml:space="preserve">High Impact</t>
  </si>
  <si>
    <t xml:space="preserve">next ID:</t>
  </si>
  <si>
    <t xml:space="preserve">ID</t>
  </si>
  <si>
    <t xml:space="preserve">Area</t>
  </si>
  <si>
    <t xml:space="preserve">Description</t>
  </si>
  <si>
    <t xml:space="preserve">Probability</t>
  </si>
  <si>
    <t xml:space="preserve">Impact</t>
  </si>
  <si>
    <t xml:space="preserve">Risk</t>
  </si>
  <si>
    <t xml:space="preserve">Prob. Rev</t>
  </si>
  <si>
    <t xml:space="preserve">Imp. Rev</t>
  </si>
  <si>
    <t xml:space="preserve">Risk. Rev.</t>
  </si>
  <si>
    <t xml:space="preserve">Result</t>
  </si>
  <si>
    <t xml:space="preserve">Action</t>
  </si>
  <si>
    <t xml:space="preserve">Owner</t>
  </si>
  <si>
    <t xml:space="preserve">Responsible</t>
  </si>
  <si>
    <t xml:space="preserve">Status</t>
  </si>
  <si>
    <t xml:space="preserve">Comments</t>
  </si>
  <si>
    <t xml:space="preserve">Pilot</t>
  </si>
  <si>
    <t xml:space="preserve">Plan to start it can be impacted by covid-19</t>
  </si>
  <si>
    <t xml:space="preserve">Delay on SR</t>
  </si>
  <si>
    <t xml:space="preserve">Start negotiation the plan in advance with customer. May be some merchants can be changed in order to receive the terminals</t>
  </si>
  <si>
    <t xml:space="preserve">Mauricio Bonifacino</t>
  </si>
  <si>
    <t xml:space="preserve">Mário Abegão / Marcos Botelho</t>
  </si>
  <si>
    <t xml:space="preserve">Opened</t>
  </si>
  <si>
    <t xml:space="preserve">13/07: First cycle need to be completed in order to start discussing it.
07/08: After discussing with customer he is not considering it as a road block eventhough the risk still exists (second wave eg.)</t>
  </si>
  <si>
    <t xml:space="preserve">Development</t>
  </si>
  <si>
    <t xml:space="preserve">Safra env is not stable </t>
  </si>
  <si>
    <t xml:space="preserve">Impact and delay for certification</t>
  </si>
  <si>
    <t xml:space="preserve">Constantly check and inform the status env to Safra managers</t>
  </si>
  <si>
    <t xml:space="preserve">Mauricio Bonifacino / Eduardo Quevedo</t>
  </si>
  <si>
    <t xml:space="preserve">Mário Abegão / Edson Nascimento</t>
  </si>
  <si>
    <t xml:space="preserve">Mitigated</t>
  </si>
  <si>
    <t xml:space="preserve">02/03: Even after lots of scalation the environment is still presenting instability
13/07: Safra is being more responsive than in the past however the env keep being not stable. Also Safra is supporting us for ELO, ALELO and TICKET certification cause of COVID-19</t>
  </si>
  <si>
    <t xml:space="preserve">Certification</t>
  </si>
  <si>
    <t xml:space="preserve">Budget overcoming</t>
  </si>
  <si>
    <t xml:space="preserve">Budget demand is higher than planed</t>
  </si>
  <si>
    <t xml:space="preserve">Tracking activities closely and trying to get parallel execution</t>
  </si>
  <si>
    <t xml:space="preserve">13/07: Dailly meeting with Argotechno</t>
  </si>
  <si>
    <t xml:space="preserve">New features implemented by Safra while the cert is happening</t>
  </si>
  <si>
    <t xml:space="preserve">Meeting with customer (Daniel Lucats) already done. At the end of cycle 1/2 the difference will be evaluated together, may be a waiver is accepted.</t>
  </si>
  <si>
    <t xml:space="preserve">13/07: By now DE25 bit and some host msg are already identified.</t>
  </si>
  <si>
    <t xml:space="preserve">Product</t>
  </si>
  <si>
    <t xml:space="preserve">Frame samples not approval</t>
  </si>
  <si>
    <t xml:space="preserve">Sending samples as soon as possible</t>
  </si>
  <si>
    <t xml:space="preserve">Adriano Morais </t>
  </si>
  <si>
    <t xml:space="preserve">David Cecilio / Filipe Augusto</t>
  </si>
  <si>
    <t xml:space="preserve">13/07: first samples expected by 17/07
11/08: frames sample scheduled for Aug endind however it is aligned to SR</t>
  </si>
  <si>
    <t xml:space="preserve">Either firmware version or hw is not compatible with the way Safra implement QRCode</t>
  </si>
  <si>
    <t xml:space="preserve">QRCode is not part of the solution delivered by VF, that can impact on sales revenew</t>
  </si>
  <si>
    <t xml:space="preserve">Just during the development it can be clarified. What we need to be prepared is why customer will be reached in case it happens.</t>
  </si>
  <si>
    <t xml:space="preserve">Eduardo Quevedo</t>
  </si>
  <si>
    <t xml:space="preserve">Marcos Botelho</t>
  </si>
  <si>
    <t xml:space="preserve">Accepted</t>
  </si>
  <si>
    <t xml:space="preserve">18/02: Marcos informed by mail - Project Status Report</t>
  </si>
  <si>
    <t xml:space="preserve">QR Code implementation via CTLS feature</t>
  </si>
  <si>
    <t xml:space="preserve">This feature might be not supported by VF firmware/hardware</t>
  </si>
  <si>
    <t xml:space="preserve">Nothing can be do in advance. It will be determined once the code is analized.</t>
  </si>
  <si>
    <t xml:space="preserve">Renato Ablas</t>
  </si>
  <si>
    <t xml:space="preserve">Cancelled</t>
  </si>
  <si>
    <t xml:space="preserve">02/03: Risks impacts are kept after review with ADC
13/07: No risk anymore</t>
  </si>
  <si>
    <t xml:space="preserve">First estimative has been delivered by Setis based on knowledge and feelings as the source code was not delivered in advance.</t>
  </si>
  <si>
    <t xml:space="preserve">Some delay for project and also SR posponed</t>
  </si>
  <si>
    <t xml:space="preserve">Constantly check meeting with Setis about the progress</t>
  </si>
  <si>
    <t xml:space="preserve">02/03: After review the topic with Renato schedule has been kept once there is none clear evidences about what Safra has implemented over the first code delivered by VF. This topic must be reviewed in the same time of project performance.
13/07: Risk has not been presented</t>
  </si>
  <si>
    <t xml:space="preserve">Initial PO has estimated without access to either source code or spec from Safra</t>
  </si>
  <si>
    <t xml:space="preserve">It can result in a CR, aditional costs and time </t>
  </si>
  <si>
    <t xml:space="preserve">Weekly meeting with Setis</t>
  </si>
  <si>
    <t xml:space="preserve">13/07: Risk was not presented</t>
  </si>
  <si>
    <t xml:space="preserve">Next ID:</t>
  </si>
  <si>
    <t xml:space="preserve">Opportunity Maximization</t>
  </si>
  <si>
    <t xml:space="preserve">Start more than one brand at the same time</t>
  </si>
  <si>
    <t xml:space="preserve">Certificatin completed in advance</t>
  </si>
  <si>
    <t xml:space="preserve">Negotiationg with Safra about their team take part of the jobs</t>
  </si>
  <si>
    <t xml:space="preserve">Mauricion Bonifacino</t>
  </si>
  <si>
    <t xml:space="preserve">13/07: Customer has already agreed with this strategy.</t>
  </si>
  <si>
    <t xml:space="preserve">Project Summary</t>
  </si>
  <si>
    <t xml:space="preserve">- Version for pilot delivered. Starting SKS package and pilot units production.
- Missing ticket (voucher) certification. Impacted by Safra resource unavailable.
- Customized frames need to be schedule by Operation Team</t>
  </si>
  <si>
    <t xml:space="preserve">Balance Score Card</t>
  </si>
  <si>
    <t xml:space="preserve">Perspective</t>
  </si>
  <si>
    <t xml:space="preserve">Goals</t>
  </si>
  <si>
    <t xml:space="preserve">KPI</t>
  </si>
  <si>
    <t xml:space="preserve">Customer</t>
  </si>
  <si>
    <t xml:space="preserve">Customer Feedback: Performance, Quality and Planning</t>
  </si>
  <si>
    <t xml:space="preserve">Business / Financial</t>
  </si>
  <si>
    <t xml:space="preserve">SR Alignment</t>
  </si>
  <si>
    <t xml:space="preserve">Certification Costs(&lt;=10;&gt;10&lt;=20; &gt;20)</t>
  </si>
  <si>
    <t xml:space="preserve">External Development</t>
  </si>
  <si>
    <t xml:space="preserve">Internal Development and/or Support</t>
  </si>
  <si>
    <t xml:space="preserve">Internal Process</t>
  </si>
  <si>
    <t xml:space="preserve">System Integration Process Alignment</t>
  </si>
  <si>
    <t xml:space="preserve">Risk Management</t>
  </si>
  <si>
    <t xml:space="preserve">Risks &amp; Opportunities</t>
  </si>
  <si>
    <t xml:space="preserve">Road Blocks</t>
  </si>
  <si>
    <t xml:space="preserve">Opportunities</t>
  </si>
</sst>
</file>

<file path=xl/styles.xml><?xml version="1.0" encoding="utf-8"?>
<styleSheet xmlns="http://schemas.openxmlformats.org/spreadsheetml/2006/main">
  <numFmts count="6">
    <numFmt numFmtId="164" formatCode="General"/>
    <numFmt numFmtId="165" formatCode="d/m/yyyy"/>
    <numFmt numFmtId="166" formatCode="0%"/>
    <numFmt numFmtId="167" formatCode="@"/>
    <numFmt numFmtId="168" formatCode="General"/>
    <numFmt numFmtId="169" formatCode="0.0"/>
  </numFmts>
  <fonts count="12">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sz val="11"/>
      <color rgb="FFFFFFFF"/>
      <name val="Calibri"/>
      <family val="2"/>
      <charset val="1"/>
    </font>
    <font>
      <sz val="11"/>
      <name val="Calibri"/>
      <family val="2"/>
      <charset val="1"/>
    </font>
    <font>
      <sz val="11"/>
      <color rgb="FFBFBFBF"/>
      <name val="Calibri"/>
      <family val="2"/>
      <charset val="1"/>
    </font>
    <font>
      <sz val="11"/>
      <color rgb="FFA6A6A6"/>
      <name val="Calibri"/>
      <family val="2"/>
      <charset val="1"/>
    </font>
    <font>
      <sz val="9"/>
      <color rgb="FF000000"/>
      <name val="Segoe UI"/>
      <family val="2"/>
      <charset val="1"/>
    </font>
    <font>
      <sz val="9"/>
      <color rgb="FF000000"/>
      <name val="Tahoma"/>
      <family val="2"/>
      <charset val="1"/>
    </font>
    <font>
      <b val="true"/>
      <sz val="11"/>
      <color rgb="FF000000"/>
      <name val="Calibri"/>
      <family val="2"/>
      <charset val="1"/>
    </font>
  </fonts>
  <fills count="7">
    <fill>
      <patternFill patternType="none"/>
    </fill>
    <fill>
      <patternFill patternType="gray125"/>
    </fill>
    <fill>
      <patternFill patternType="solid">
        <fgColor rgb="FF000000"/>
        <bgColor rgb="FF003300"/>
      </patternFill>
    </fill>
    <fill>
      <patternFill patternType="solid">
        <fgColor rgb="FF00B050"/>
        <bgColor rgb="FF008080"/>
      </patternFill>
    </fill>
    <fill>
      <patternFill patternType="solid">
        <fgColor rgb="FFFFFF00"/>
        <bgColor rgb="FFFFFF00"/>
      </patternFill>
    </fill>
    <fill>
      <patternFill patternType="solid">
        <fgColor rgb="FFFF0000"/>
        <bgColor rgb="FF993300"/>
      </patternFill>
    </fill>
    <fill>
      <patternFill patternType="solid">
        <fgColor rgb="FF0070C0"/>
        <bgColor rgb="FF00808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19" applyFont="true" applyBorder="tru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tru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true" indent="0" shrinkToFit="false"/>
      <protection locked="true" hidden="false"/>
    </xf>
    <xf numFmtId="164" fontId="5" fillId="2" borderId="1" xfId="19" applyFont="true" applyBorder="true" applyAlignment="true" applyProtection="true">
      <alignment horizontal="center" vertical="bottom" textRotation="0" wrapText="false" indent="0" shrinkToFit="false"/>
      <protection locked="true" hidden="false"/>
    </xf>
    <xf numFmtId="167" fontId="5" fillId="2"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8" fontId="6" fillId="0" borderId="1" xfId="19" applyFont="true" applyBorder="true" applyAlignment="true" applyProtection="true">
      <alignment horizontal="center" vertical="bottom" textRotation="0" wrapText="false" indent="0" shrinkToFit="false"/>
      <protection locked="true" hidden="false"/>
    </xf>
    <xf numFmtId="164" fontId="6" fillId="0" borderId="1" xfId="19" applyFont="true" applyBorder="true" applyAlignment="true" applyProtection="true">
      <alignment horizontal="center" vertical="bottom" textRotation="0" wrapText="false" indent="0" shrinkToFit="false"/>
      <protection locked="true" hidden="false"/>
    </xf>
    <xf numFmtId="167" fontId="6" fillId="0" borderId="1"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8" fontId="8" fillId="0" borderId="1" xfId="19" applyFont="true" applyBorder="true" applyAlignment="true" applyProtection="true">
      <alignment horizontal="center" vertical="bottom" textRotation="0" wrapText="false" indent="0" shrinkToFit="false"/>
      <protection locked="true" hidden="false"/>
    </xf>
    <xf numFmtId="168" fontId="7" fillId="0" borderId="1" xfId="19" applyFont="true" applyBorder="true" applyAlignment="true" applyProtection="true">
      <alignment horizontal="center" vertical="bottom" textRotation="0" wrapText="false" indent="0" shrinkToFit="false"/>
      <protection locked="true" hidden="false"/>
    </xf>
    <xf numFmtId="167" fontId="8" fillId="0" borderId="1" xfId="0" applyFont="true" applyBorder="tru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true" indent="0" shrinkToFit="false"/>
      <protection locked="true" hidden="false"/>
    </xf>
    <xf numFmtId="167" fontId="7" fillId="0" borderId="1"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19" applyFont="true" applyBorder="true" applyAlignment="true" applyProtection="true">
      <alignment horizontal="center"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true" indent="0" shrinkToFit="false"/>
      <protection locked="true" hidden="false"/>
    </xf>
    <xf numFmtId="164" fontId="4" fillId="6" borderId="1" xfId="0" applyFont="true" applyBorder="true" applyAlignment="true" applyProtection="true">
      <alignment horizontal="center" vertical="bottom" textRotation="0" wrapText="false" indent="0" shrinkToFit="false"/>
      <protection locked="true" hidden="false"/>
    </xf>
    <xf numFmtId="167" fontId="0" fillId="0" borderId="1" xfId="0" applyFont="true" applyBorder="true" applyAlignment="true" applyProtection="true">
      <alignment horizontal="left" vertical="top" textRotation="0" wrapText="tru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4" fillId="6" borderId="2" xfId="0" applyFont="true" applyBorder="true" applyAlignment="true" applyProtection="true">
      <alignment horizontal="left"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9" fontId="6" fillId="0" borderId="3" xfId="19"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6" borderId="1" xfId="0" applyFont="true" applyBorder="true" applyAlignment="true" applyProtection="true">
      <alignment horizontal="left" vertical="center" textRotation="0" wrapText="false" indent="0" shrinkToFit="false"/>
      <protection locked="true" hidden="false"/>
    </xf>
    <xf numFmtId="169" fontId="5" fillId="0" borderId="3" xfId="19" applyFont="true" applyBorder="true" applyAlignment="true" applyProtection="true">
      <alignment horizontal="center" vertical="bottom" textRotation="0" wrapText="false" indent="0" shrinkToFit="false"/>
      <protection locked="true" hidden="false"/>
    </xf>
    <xf numFmtId="169" fontId="6" fillId="3" borderId="3" xfId="19"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bgColor rgb="FFFF0000"/>
        </patternFill>
      </fill>
    </dxf>
    <dxf>
      <fill>
        <patternFill>
          <bgColor rgb="FFFFFF00"/>
        </patternFill>
      </fill>
    </dxf>
    <dxf>
      <font>
        <color rgb="FFFFFFFF"/>
      </font>
      <fill>
        <patternFill>
          <bgColor rgb="FF00B050"/>
        </patternFill>
      </fill>
    </dxf>
    <dxf>
      <fill>
        <patternFill>
          <bgColor rgb="FFFF0000"/>
        </patternFill>
      </fill>
    </dxf>
    <dxf>
      <fill>
        <patternFill>
          <bgColor rgb="FFFFFF00"/>
        </patternFill>
      </fill>
    </dxf>
    <dxf>
      <font>
        <color rgb="FFFFFFFF"/>
      </font>
      <fill>
        <patternFill>
          <bgColor rgb="FF00B050"/>
        </patternFill>
      </fill>
    </dxf>
    <dxf>
      <fill>
        <patternFill>
          <bgColor rgb="FF00B050"/>
        </patternFill>
      </fill>
    </dxf>
    <dxf>
      <fill>
        <patternFill>
          <bgColor rgb="FFFFFF00"/>
        </patternFill>
      </fill>
    </dxf>
    <dxf>
      <font>
        <color rgb="FFFFFFFF"/>
      </font>
      <fill>
        <patternFill>
          <bgColor rgb="FFFF0000"/>
        </patternFill>
      </fill>
    </dxf>
    <dxf>
      <fill>
        <patternFill>
          <bgColor rgb="FF00B050"/>
        </patternFill>
      </fill>
    </dxf>
    <dxf>
      <fill>
        <patternFill>
          <bgColor rgb="FFFFFF00"/>
        </patternFill>
      </fill>
    </dxf>
    <dxf>
      <font>
        <color rgb="FFFFFFFF"/>
      </font>
      <fill>
        <patternFill>
          <bgColor rgb="FFFF00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33" activeCellId="0" sqref="F33"/>
    </sheetView>
  </sheetViews>
  <sheetFormatPr defaultColWidth="8.5390625" defaultRowHeight="15" zeroHeight="false" outlineLevelRow="0" outlineLevelCol="0"/>
  <cols>
    <col collapsed="false" customWidth="true" hidden="false" outlineLevel="0" max="1" min="1" style="1" width="13.43"/>
    <col collapsed="false" customWidth="true" hidden="false" outlineLevel="0" max="2" min="2" style="1" width="10.71"/>
    <col collapsed="false" customWidth="true" hidden="false" outlineLevel="0" max="3" min="3" style="1" width="49.29"/>
    <col collapsed="false" customWidth="true" hidden="false" outlineLevel="0" max="4" min="4" style="2" width="9.14"/>
  </cols>
  <sheetData>
    <row r="1" customFormat="false" ht="15" hidden="false" customHeight="false" outlineLevel="0" collapsed="false">
      <c r="A1" s="3" t="s">
        <v>0</v>
      </c>
      <c r="B1" s="3" t="s">
        <v>1</v>
      </c>
      <c r="C1" s="3" t="s">
        <v>2</v>
      </c>
      <c r="D1" s="4" t="s">
        <v>3</v>
      </c>
    </row>
    <row r="2" customFormat="false" ht="15" hidden="false" customHeight="false" outlineLevel="0" collapsed="false">
      <c r="A2" s="5" t="s">
        <v>4</v>
      </c>
      <c r="B2" s="6" t="n">
        <v>43880</v>
      </c>
      <c r="C2" s="5" t="s">
        <v>5</v>
      </c>
      <c r="D2" s="7" t="s">
        <v>6</v>
      </c>
    </row>
    <row r="3" customFormat="false" ht="15" hidden="false" customHeight="false" outlineLevel="0" collapsed="false">
      <c r="A3" s="5" t="s">
        <v>4</v>
      </c>
      <c r="B3" s="6" t="n">
        <v>43892</v>
      </c>
      <c r="C3" s="5" t="s">
        <v>7</v>
      </c>
      <c r="D3" s="7" t="s">
        <v>8</v>
      </c>
    </row>
    <row r="4" customFormat="false" ht="15" hidden="false" customHeight="false" outlineLevel="0" collapsed="false">
      <c r="A4" s="5" t="s">
        <v>4</v>
      </c>
      <c r="B4" s="6" t="n">
        <v>44025</v>
      </c>
      <c r="C4" s="5" t="s">
        <v>9</v>
      </c>
      <c r="D4" s="7" t="s">
        <v>10</v>
      </c>
    </row>
    <row r="5" customFormat="false" ht="15" hidden="false" customHeight="false" outlineLevel="0" collapsed="false">
      <c r="A5" s="5" t="s">
        <v>4</v>
      </c>
      <c r="B5" s="6" t="n">
        <v>44054</v>
      </c>
      <c r="C5" s="5" t="s">
        <v>7</v>
      </c>
      <c r="D5" s="7" t="s">
        <v>11</v>
      </c>
    </row>
    <row r="6" customFormat="false" ht="15" hidden="false" customHeight="false" outlineLevel="0" collapsed="false">
      <c r="A6" s="5"/>
      <c r="B6" s="6"/>
      <c r="C6" s="5"/>
      <c r="D6" s="7"/>
    </row>
    <row r="7" customFormat="false" ht="15" hidden="false" customHeight="false" outlineLevel="0" collapsed="false">
      <c r="A7" s="5"/>
      <c r="B7" s="6"/>
      <c r="C7" s="5"/>
      <c r="D7" s="7"/>
    </row>
    <row r="8" customFormat="false" ht="15" hidden="false" customHeight="false" outlineLevel="0" collapsed="false">
      <c r="A8" s="5"/>
      <c r="B8" s="5"/>
      <c r="C8" s="5"/>
      <c r="D8" s="7"/>
    </row>
    <row r="9" customFormat="false" ht="15" hidden="false" customHeight="false" outlineLevel="0" collapsed="false">
      <c r="A9" s="5"/>
      <c r="B9" s="5"/>
      <c r="C9" s="5"/>
      <c r="D9" s="7"/>
    </row>
    <row r="10" customFormat="false" ht="15" hidden="false" customHeight="false" outlineLevel="0" collapsed="false">
      <c r="A10" s="5"/>
      <c r="B10" s="5"/>
      <c r="C10" s="5"/>
      <c r="D10" s="7"/>
    </row>
    <row r="11" customFormat="false" ht="15" hidden="false" customHeight="false" outlineLevel="0" collapsed="false">
      <c r="A11" s="5"/>
      <c r="B11" s="5"/>
      <c r="C11" s="5"/>
      <c r="D11" s="7"/>
    </row>
    <row r="12" customFormat="false" ht="15" hidden="false" customHeight="false" outlineLevel="0" collapsed="false">
      <c r="A12" s="5"/>
      <c r="B12" s="5"/>
      <c r="C12" s="5"/>
      <c r="D12" s="7"/>
    </row>
    <row r="13" customFormat="false" ht="15" hidden="false" customHeight="false" outlineLevel="0" collapsed="false">
      <c r="A13" s="5"/>
      <c r="B13" s="5"/>
      <c r="C13" s="5"/>
      <c r="D13" s="7"/>
    </row>
    <row r="14" customFormat="false" ht="15" hidden="false" customHeight="false" outlineLevel="0" collapsed="false">
      <c r="A14" s="5"/>
      <c r="B14" s="5"/>
      <c r="C14" s="5"/>
      <c r="D14" s="7"/>
    </row>
    <row r="15" customFormat="false" ht="15" hidden="false" customHeight="false" outlineLevel="0" collapsed="false">
      <c r="A15" s="5"/>
      <c r="B15" s="5"/>
      <c r="C15" s="5"/>
      <c r="D15" s="7"/>
    </row>
    <row r="16" customFormat="false" ht="15" hidden="false" customHeight="false" outlineLevel="0" collapsed="false">
      <c r="A16" s="5"/>
      <c r="B16" s="5"/>
      <c r="C16" s="5"/>
      <c r="D16" s="7"/>
    </row>
  </sheetData>
  <printOptions headings="false" gridLines="false" gridLinesSet="true" horizontalCentered="false" verticalCentered="false"/>
  <pageMargins left="0.511805555555556" right="0.511805555555556"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F5" activeCellId="0" sqref="F5"/>
    </sheetView>
  </sheetViews>
  <sheetFormatPr defaultColWidth="8.5390625" defaultRowHeight="15" zeroHeight="false" outlineLevelRow="0" outlineLevelCol="0"/>
  <cols>
    <col collapsed="false" customWidth="true" hidden="false" outlineLevel="0" max="2" min="2" style="1" width="16.86"/>
    <col collapsed="false" customWidth="true" hidden="false" outlineLevel="0" max="3" min="3" style="8" width="47.57"/>
    <col collapsed="false" customWidth="true" hidden="false" outlineLevel="0" max="4" min="4" style="1" width="10.71"/>
    <col collapsed="false" customWidth="true" hidden="false" outlineLevel="0" max="6" min="6" style="9" width="9.14"/>
    <col collapsed="false" customWidth="true" hidden="false" outlineLevel="0" max="7" min="7" style="9" width="9.43"/>
    <col collapsed="false" customWidth="true" hidden="false" outlineLevel="0" max="8" min="8" style="9" width="8.71"/>
    <col collapsed="false" customWidth="true" hidden="false" outlineLevel="0" max="9" min="9" style="9" width="9.43"/>
    <col collapsed="false" customWidth="true" hidden="false" outlineLevel="0" max="10" min="10" style="8" width="46.29"/>
    <col collapsed="false" customWidth="true" hidden="false" outlineLevel="0" max="11" min="11" style="10" width="41"/>
    <col collapsed="false" customWidth="true" hidden="false" outlineLevel="0" max="12" min="12" style="8" width="17"/>
    <col collapsed="false" customWidth="true" hidden="false" outlineLevel="0" max="13" min="13" style="8" width="19.29"/>
    <col collapsed="false" customWidth="true" hidden="false" outlineLevel="0" max="14" min="14" style="1" width="11"/>
    <col collapsed="false" customWidth="true" hidden="false" outlineLevel="0" max="15" min="15" style="8" width="48.86"/>
  </cols>
  <sheetData>
    <row r="1" customFormat="false" ht="15" hidden="false" customHeight="false" outlineLevel="0" collapsed="false">
      <c r="A1" s="11"/>
      <c r="B1" s="5" t="s">
        <v>12</v>
      </c>
    </row>
    <row r="2" customFormat="false" ht="15" hidden="false" customHeight="false" outlineLevel="0" collapsed="false">
      <c r="A2" s="12"/>
      <c r="B2" s="5" t="s">
        <v>13</v>
      </c>
    </row>
    <row r="3" customFormat="false" ht="15" hidden="false" customHeight="false" outlineLevel="0" collapsed="false">
      <c r="A3" s="13"/>
      <c r="B3" s="5" t="s">
        <v>14</v>
      </c>
      <c r="D3" s="1" t="s">
        <v>15</v>
      </c>
      <c r="E3" s="1" t="n">
        <f aca="false">COUNTA(A5:A342)+1</f>
        <v>10</v>
      </c>
    </row>
    <row r="4" customFormat="false" ht="15" hidden="false" customHeight="false" outlineLevel="0" collapsed="false">
      <c r="A4" s="14" t="s">
        <v>16</v>
      </c>
      <c r="B4" s="14" t="s">
        <v>17</v>
      </c>
      <c r="C4" s="15" t="s">
        <v>18</v>
      </c>
      <c r="D4" s="14" t="s">
        <v>19</v>
      </c>
      <c r="E4" s="14" t="s">
        <v>20</v>
      </c>
      <c r="F4" s="16" t="s">
        <v>21</v>
      </c>
      <c r="G4" s="16" t="s">
        <v>22</v>
      </c>
      <c r="H4" s="16" t="s">
        <v>23</v>
      </c>
      <c r="I4" s="16" t="s">
        <v>24</v>
      </c>
      <c r="J4" s="15" t="s">
        <v>25</v>
      </c>
      <c r="K4" s="17" t="s">
        <v>26</v>
      </c>
      <c r="L4" s="15" t="s">
        <v>27</v>
      </c>
      <c r="M4" s="15" t="s">
        <v>28</v>
      </c>
      <c r="N4" s="15" t="s">
        <v>29</v>
      </c>
      <c r="O4" s="15" t="s">
        <v>30</v>
      </c>
    </row>
    <row r="5" s="23" customFormat="true" ht="75" hidden="false" customHeight="false" outlineLevel="0" collapsed="false">
      <c r="A5" s="18" t="n">
        <v>7</v>
      </c>
      <c r="B5" s="18" t="s">
        <v>31</v>
      </c>
      <c r="C5" s="19" t="s">
        <v>32</v>
      </c>
      <c r="D5" s="18" t="n">
        <v>4</v>
      </c>
      <c r="E5" s="18" t="n">
        <v>4</v>
      </c>
      <c r="F5" s="20" t="n">
        <f aca="false">E5*D5</f>
        <v>16</v>
      </c>
      <c r="G5" s="21" t="n">
        <v>2</v>
      </c>
      <c r="H5" s="21" t="n">
        <v>4</v>
      </c>
      <c r="I5" s="20" t="n">
        <f aca="false">H5*G5</f>
        <v>8</v>
      </c>
      <c r="J5" s="19" t="s">
        <v>33</v>
      </c>
      <c r="K5" s="22" t="s">
        <v>34</v>
      </c>
      <c r="L5" s="19" t="s">
        <v>35</v>
      </c>
      <c r="M5" s="19" t="s">
        <v>36</v>
      </c>
      <c r="N5" s="19" t="s">
        <v>37</v>
      </c>
      <c r="O5" s="19" t="s">
        <v>38</v>
      </c>
    </row>
    <row r="6" s="24" customFormat="true" ht="90" hidden="false" customHeight="false" outlineLevel="0" collapsed="false">
      <c r="A6" s="18" t="n">
        <v>3</v>
      </c>
      <c r="B6" s="18" t="s">
        <v>39</v>
      </c>
      <c r="C6" s="19" t="s">
        <v>40</v>
      </c>
      <c r="D6" s="18" t="n">
        <v>4</v>
      </c>
      <c r="E6" s="18" t="n">
        <v>4</v>
      </c>
      <c r="F6" s="20" t="n">
        <f aca="false">E6*D6</f>
        <v>16</v>
      </c>
      <c r="G6" s="21" t="n">
        <v>3</v>
      </c>
      <c r="H6" s="21" t="n">
        <v>4</v>
      </c>
      <c r="I6" s="20" t="n">
        <f aca="false">H6*G6</f>
        <v>12</v>
      </c>
      <c r="J6" s="19" t="s">
        <v>41</v>
      </c>
      <c r="K6" s="22" t="s">
        <v>42</v>
      </c>
      <c r="L6" s="19" t="s">
        <v>43</v>
      </c>
      <c r="M6" s="19" t="s">
        <v>44</v>
      </c>
      <c r="N6" s="19" t="s">
        <v>45</v>
      </c>
      <c r="O6" s="19" t="s">
        <v>46</v>
      </c>
    </row>
    <row r="7" s="24" customFormat="true" ht="30" hidden="false" customHeight="false" outlineLevel="0" collapsed="false">
      <c r="A7" s="18" t="n">
        <v>6</v>
      </c>
      <c r="B7" s="18" t="s">
        <v>47</v>
      </c>
      <c r="C7" s="19" t="s">
        <v>48</v>
      </c>
      <c r="D7" s="18" t="n">
        <v>4</v>
      </c>
      <c r="E7" s="18" t="n">
        <v>3</v>
      </c>
      <c r="F7" s="20" t="n">
        <f aca="false">E7*D7</f>
        <v>12</v>
      </c>
      <c r="G7" s="21" t="n">
        <v>4</v>
      </c>
      <c r="H7" s="21" t="n">
        <v>3</v>
      </c>
      <c r="I7" s="20" t="n">
        <f aca="false">H7*G7</f>
        <v>12</v>
      </c>
      <c r="J7" s="19" t="s">
        <v>49</v>
      </c>
      <c r="K7" s="22" t="s">
        <v>50</v>
      </c>
      <c r="L7" s="19" t="s">
        <v>35</v>
      </c>
      <c r="M7" s="19" t="s">
        <v>44</v>
      </c>
      <c r="N7" s="19" t="s">
        <v>45</v>
      </c>
      <c r="O7" s="19" t="s">
        <v>51</v>
      </c>
    </row>
    <row r="8" s="24" customFormat="true" ht="60" hidden="false" customHeight="false" outlineLevel="0" collapsed="false">
      <c r="A8" s="18" t="n">
        <v>8</v>
      </c>
      <c r="B8" s="18" t="s">
        <v>39</v>
      </c>
      <c r="C8" s="19" t="s">
        <v>52</v>
      </c>
      <c r="D8" s="18" t="n">
        <v>4</v>
      </c>
      <c r="E8" s="18" t="n">
        <v>4</v>
      </c>
      <c r="F8" s="20" t="n">
        <f aca="false">E8*D8</f>
        <v>16</v>
      </c>
      <c r="G8" s="21" t="n">
        <v>4</v>
      </c>
      <c r="H8" s="21" t="n">
        <v>3</v>
      </c>
      <c r="I8" s="20" t="n">
        <f aca="false">H8*G8</f>
        <v>12</v>
      </c>
      <c r="J8" s="19" t="s">
        <v>33</v>
      </c>
      <c r="K8" s="22" t="s">
        <v>53</v>
      </c>
      <c r="L8" s="19" t="s">
        <v>35</v>
      </c>
      <c r="M8" s="19" t="s">
        <v>44</v>
      </c>
      <c r="N8" s="19" t="s">
        <v>45</v>
      </c>
      <c r="O8" s="19" t="s">
        <v>54</v>
      </c>
    </row>
    <row r="9" s="24" customFormat="true" ht="45" hidden="false" customHeight="false" outlineLevel="0" collapsed="false">
      <c r="A9" s="18" t="n">
        <v>9</v>
      </c>
      <c r="B9" s="18" t="s">
        <v>55</v>
      </c>
      <c r="C9" s="19" t="s">
        <v>56</v>
      </c>
      <c r="D9" s="18" t="n">
        <v>2</v>
      </c>
      <c r="E9" s="18" t="n">
        <v>4</v>
      </c>
      <c r="F9" s="20" t="n">
        <f aca="false">E9*D9</f>
        <v>8</v>
      </c>
      <c r="G9" s="21" t="n">
        <v>2</v>
      </c>
      <c r="H9" s="21" t="n">
        <v>4</v>
      </c>
      <c r="I9" s="20" t="n">
        <f aca="false">H9*G9</f>
        <v>8</v>
      </c>
      <c r="J9" s="19" t="s">
        <v>33</v>
      </c>
      <c r="K9" s="22" t="s">
        <v>57</v>
      </c>
      <c r="L9" s="19" t="s">
        <v>58</v>
      </c>
      <c r="M9" s="19" t="s">
        <v>59</v>
      </c>
      <c r="N9" s="19" t="s">
        <v>45</v>
      </c>
      <c r="O9" s="19" t="s">
        <v>60</v>
      </c>
    </row>
    <row r="10" s="24" customFormat="true" ht="60" hidden="false" customHeight="false" outlineLevel="0" collapsed="false">
      <c r="A10" s="25" t="n">
        <v>1</v>
      </c>
      <c r="B10" s="25" t="s">
        <v>55</v>
      </c>
      <c r="C10" s="26" t="s">
        <v>61</v>
      </c>
      <c r="D10" s="25" t="n">
        <v>3</v>
      </c>
      <c r="E10" s="25" t="n">
        <v>5</v>
      </c>
      <c r="F10" s="27" t="n">
        <f aca="false">E10*D10</f>
        <v>15</v>
      </c>
      <c r="G10" s="27" t="n">
        <v>3</v>
      </c>
      <c r="H10" s="27" t="n">
        <v>5</v>
      </c>
      <c r="I10" s="28" t="n">
        <f aca="false">H10*G10</f>
        <v>15</v>
      </c>
      <c r="J10" s="26" t="s">
        <v>62</v>
      </c>
      <c r="K10" s="29" t="s">
        <v>63</v>
      </c>
      <c r="L10" s="26" t="s">
        <v>64</v>
      </c>
      <c r="M10" s="26" t="s">
        <v>65</v>
      </c>
      <c r="N10" s="26" t="s">
        <v>66</v>
      </c>
      <c r="O10" s="26" t="s">
        <v>67</v>
      </c>
    </row>
    <row r="11" s="24" customFormat="true" ht="30" hidden="false" customHeight="false" outlineLevel="0" collapsed="false">
      <c r="A11" s="30" t="n">
        <v>5</v>
      </c>
      <c r="B11" s="30" t="s">
        <v>39</v>
      </c>
      <c r="C11" s="31" t="s">
        <v>68</v>
      </c>
      <c r="D11" s="30" t="n">
        <v>4</v>
      </c>
      <c r="E11" s="30" t="n">
        <v>5</v>
      </c>
      <c r="F11" s="28" t="n">
        <f aca="false">E11*D11</f>
        <v>20</v>
      </c>
      <c r="G11" s="28" t="n">
        <v>4</v>
      </c>
      <c r="H11" s="28" t="n">
        <v>5</v>
      </c>
      <c r="I11" s="28" t="n">
        <f aca="false">H11*G11</f>
        <v>20</v>
      </c>
      <c r="J11" s="31" t="s">
        <v>69</v>
      </c>
      <c r="K11" s="32" t="s">
        <v>70</v>
      </c>
      <c r="L11" s="31" t="s">
        <v>35</v>
      </c>
      <c r="M11" s="31" t="s">
        <v>71</v>
      </c>
      <c r="N11" s="31" t="s">
        <v>72</v>
      </c>
      <c r="O11" s="31" t="s">
        <v>73</v>
      </c>
    </row>
    <row r="12" s="24" customFormat="true" ht="90" hidden="false" customHeight="false" outlineLevel="0" collapsed="false">
      <c r="A12" s="30" t="n">
        <v>2</v>
      </c>
      <c r="B12" s="30" t="s">
        <v>39</v>
      </c>
      <c r="C12" s="31" t="s">
        <v>74</v>
      </c>
      <c r="D12" s="30" t="n">
        <v>2</v>
      </c>
      <c r="E12" s="30" t="n">
        <v>5</v>
      </c>
      <c r="F12" s="28" t="n">
        <f aca="false">E12*D12</f>
        <v>10</v>
      </c>
      <c r="G12" s="28" t="n">
        <v>2</v>
      </c>
      <c r="H12" s="28" t="n">
        <v>5</v>
      </c>
      <c r="I12" s="28" t="n">
        <f aca="false">H12*G12</f>
        <v>10</v>
      </c>
      <c r="J12" s="31" t="s">
        <v>75</v>
      </c>
      <c r="K12" s="32" t="s">
        <v>76</v>
      </c>
      <c r="L12" s="31" t="s">
        <v>35</v>
      </c>
      <c r="M12" s="31" t="s">
        <v>71</v>
      </c>
      <c r="N12" s="31" t="s">
        <v>72</v>
      </c>
      <c r="O12" s="31" t="s">
        <v>77</v>
      </c>
    </row>
    <row r="13" s="24" customFormat="true" ht="30" hidden="false" customHeight="false" outlineLevel="0" collapsed="false">
      <c r="A13" s="30" t="n">
        <v>4</v>
      </c>
      <c r="B13" s="30" t="s">
        <v>39</v>
      </c>
      <c r="C13" s="31" t="s">
        <v>78</v>
      </c>
      <c r="D13" s="30" t="n">
        <v>3</v>
      </c>
      <c r="E13" s="30" t="n">
        <v>4</v>
      </c>
      <c r="F13" s="28" t="n">
        <f aca="false">E13*D13</f>
        <v>12</v>
      </c>
      <c r="G13" s="28"/>
      <c r="H13" s="28"/>
      <c r="I13" s="28" t="n">
        <f aca="false">H13*G13</f>
        <v>0</v>
      </c>
      <c r="J13" s="31" t="s">
        <v>79</v>
      </c>
      <c r="K13" s="32" t="s">
        <v>80</v>
      </c>
      <c r="L13" s="31" t="s">
        <v>35</v>
      </c>
      <c r="M13" s="31" t="s">
        <v>71</v>
      </c>
      <c r="N13" s="31" t="s">
        <v>72</v>
      </c>
      <c r="O13" s="31" t="s">
        <v>81</v>
      </c>
    </row>
    <row r="14" s="24" customFormat="true" ht="15" hidden="false" customHeight="false" outlineLevel="0" collapsed="false">
      <c r="C14" s="33"/>
      <c r="F14" s="34"/>
      <c r="G14" s="34"/>
      <c r="H14" s="34"/>
      <c r="I14" s="34"/>
      <c r="J14" s="33"/>
      <c r="K14" s="35"/>
      <c r="L14" s="33"/>
      <c r="M14" s="33"/>
      <c r="O14" s="33"/>
    </row>
    <row r="15" s="24" customFormat="true" ht="15" hidden="false" customHeight="false" outlineLevel="0" collapsed="false">
      <c r="C15" s="33"/>
      <c r="F15" s="34"/>
      <c r="G15" s="34"/>
      <c r="H15" s="34"/>
      <c r="I15" s="34"/>
      <c r="J15" s="33"/>
      <c r="K15" s="35"/>
      <c r="L15" s="33"/>
      <c r="M15" s="33"/>
      <c r="O15" s="33"/>
    </row>
    <row r="16" s="24" customFormat="true" ht="15" hidden="false" customHeight="false" outlineLevel="0" collapsed="false">
      <c r="C16" s="33"/>
      <c r="F16" s="34"/>
      <c r="G16" s="34"/>
      <c r="H16" s="34"/>
      <c r="I16" s="34"/>
      <c r="J16" s="33"/>
      <c r="K16" s="35"/>
      <c r="L16" s="33"/>
      <c r="M16" s="33"/>
      <c r="O16" s="33"/>
    </row>
    <row r="17" s="24" customFormat="true" ht="15" hidden="false" customHeight="false" outlineLevel="0" collapsed="false">
      <c r="C17" s="33"/>
      <c r="F17" s="34"/>
      <c r="G17" s="34"/>
      <c r="H17" s="34"/>
      <c r="I17" s="34"/>
      <c r="J17" s="33"/>
      <c r="K17" s="35"/>
      <c r="L17" s="33"/>
      <c r="M17" s="33"/>
      <c r="O17" s="33"/>
    </row>
    <row r="18" s="24" customFormat="true" ht="15" hidden="false" customHeight="false" outlineLevel="0" collapsed="false">
      <c r="C18" s="33"/>
      <c r="F18" s="34"/>
      <c r="G18" s="34"/>
      <c r="H18" s="34"/>
      <c r="I18" s="34"/>
      <c r="J18" s="33"/>
      <c r="K18" s="35"/>
      <c r="L18" s="33"/>
      <c r="M18" s="33"/>
      <c r="O18" s="33"/>
    </row>
    <row r="19" s="24" customFormat="true" ht="15" hidden="false" customHeight="false" outlineLevel="0" collapsed="false">
      <c r="C19" s="33"/>
      <c r="F19" s="34"/>
      <c r="G19" s="34"/>
      <c r="H19" s="34"/>
      <c r="I19" s="34"/>
      <c r="J19" s="33"/>
      <c r="K19" s="35"/>
      <c r="L19" s="33"/>
      <c r="M19" s="33"/>
      <c r="O19" s="33"/>
    </row>
    <row r="20" s="24" customFormat="true" ht="15" hidden="false" customHeight="false" outlineLevel="0" collapsed="false">
      <c r="C20" s="33"/>
      <c r="F20" s="34"/>
      <c r="G20" s="34"/>
      <c r="H20" s="34"/>
      <c r="I20" s="34"/>
      <c r="J20" s="33"/>
      <c r="K20" s="35"/>
      <c r="L20" s="33"/>
      <c r="M20" s="33"/>
      <c r="O20" s="33"/>
    </row>
    <row r="21" s="24" customFormat="true" ht="15" hidden="false" customHeight="false" outlineLevel="0" collapsed="false">
      <c r="C21" s="33"/>
      <c r="F21" s="34"/>
      <c r="G21" s="34"/>
      <c r="H21" s="34"/>
      <c r="I21" s="34"/>
      <c r="J21" s="33"/>
      <c r="K21" s="35"/>
      <c r="L21" s="33"/>
      <c r="M21" s="33"/>
      <c r="O21" s="33"/>
    </row>
    <row r="22" s="24" customFormat="true" ht="15" hidden="false" customHeight="false" outlineLevel="0" collapsed="false">
      <c r="C22" s="33"/>
      <c r="F22" s="34"/>
      <c r="G22" s="34"/>
      <c r="H22" s="34"/>
      <c r="I22" s="34"/>
      <c r="J22" s="33"/>
      <c r="K22" s="35"/>
      <c r="L22" s="33"/>
      <c r="M22" s="33"/>
      <c r="O22" s="33"/>
    </row>
  </sheetData>
  <conditionalFormatting sqref="I5:I9">
    <cfRule type="cellIs" priority="2" operator="greaterThanOrEqual" aboveAverage="0" equalAverage="0" bottom="0" percent="0" rank="0" text="" dxfId="0">
      <formula>15</formula>
    </cfRule>
    <cfRule type="cellIs" priority="3" operator="between" aboveAverage="0" equalAverage="0" bottom="0" percent="0" rank="0" text="" dxfId="1">
      <formula>6</formula>
      <formula>12</formula>
    </cfRule>
    <cfRule type="cellIs" priority="4" operator="lessThanOrEqual" aboveAverage="0" equalAverage="0" bottom="0" percent="0" rank="0" text="" dxfId="2">
      <formula>5</formula>
    </cfRule>
  </conditionalFormatting>
  <conditionalFormatting sqref="F5:F9">
    <cfRule type="cellIs" priority="5" operator="greaterThanOrEqual" aboveAverage="0" equalAverage="0" bottom="0" percent="0" rank="0" text="" dxfId="3">
      <formula>15</formula>
    </cfRule>
    <cfRule type="cellIs" priority="6" operator="between" aboveAverage="0" equalAverage="0" bottom="0" percent="0" rank="0" text="" dxfId="4">
      <formula>6</formula>
      <formula>12</formula>
    </cfRule>
    <cfRule type="cellIs" priority="7" operator="lessThanOrEqual" aboveAverage="0" equalAverage="0" bottom="0" percent="0" rank="0" text="" dxfId="5">
      <formula>5</formula>
    </cfRule>
  </conditionalFormatting>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G37" activeCellId="0" sqref="G37"/>
    </sheetView>
  </sheetViews>
  <sheetFormatPr defaultColWidth="8.5390625" defaultRowHeight="15" zeroHeight="false" outlineLevelRow="0" outlineLevelCol="0"/>
  <cols>
    <col collapsed="false" customWidth="true" hidden="false" outlineLevel="0" max="2" min="2" style="1" width="21.43"/>
    <col collapsed="false" customWidth="true" hidden="false" outlineLevel="0" max="3" min="3" style="1" width="52.86"/>
    <col collapsed="false" customWidth="true" hidden="false" outlineLevel="0" max="10" min="10" style="1" width="38"/>
    <col collapsed="false" customWidth="true" hidden="false" outlineLevel="0" max="11" min="11" style="1" width="61"/>
    <col collapsed="false" customWidth="true" hidden="false" outlineLevel="0" max="12" min="12" style="1" width="17.43"/>
    <col collapsed="false" customWidth="true" hidden="false" outlineLevel="0" max="13" min="13" style="1" width="16"/>
    <col collapsed="false" customWidth="true" hidden="false" outlineLevel="0" max="14" min="14" style="1" width="21.57"/>
    <col collapsed="false" customWidth="true" hidden="false" outlineLevel="0" max="15" min="15" style="1" width="57.43"/>
  </cols>
  <sheetData>
    <row r="1" customFormat="false" ht="15" hidden="false" customHeight="false" outlineLevel="0" collapsed="false">
      <c r="A1" s="11"/>
      <c r="B1" s="5" t="s">
        <v>14</v>
      </c>
      <c r="C1" s="8"/>
      <c r="F1" s="9"/>
      <c r="G1" s="9"/>
      <c r="H1" s="9"/>
      <c r="I1" s="9"/>
      <c r="J1" s="8"/>
      <c r="K1" s="10"/>
      <c r="L1" s="8"/>
      <c r="M1" s="8"/>
      <c r="O1" s="10"/>
    </row>
    <row r="2" customFormat="false" ht="15" hidden="false" customHeight="false" outlineLevel="0" collapsed="false">
      <c r="A2" s="12"/>
      <c r="B2" s="5" t="s">
        <v>13</v>
      </c>
      <c r="C2" s="8"/>
      <c r="F2" s="9"/>
      <c r="G2" s="9"/>
      <c r="H2" s="9"/>
      <c r="I2" s="9"/>
      <c r="J2" s="8"/>
      <c r="K2" s="10"/>
      <c r="L2" s="8"/>
      <c r="M2" s="8"/>
      <c r="O2" s="10"/>
    </row>
    <row r="3" customFormat="false" ht="15" hidden="false" customHeight="false" outlineLevel="0" collapsed="false">
      <c r="A3" s="13"/>
      <c r="B3" s="5" t="s">
        <v>12</v>
      </c>
      <c r="C3" s="8"/>
      <c r="D3" s="1" t="s">
        <v>82</v>
      </c>
      <c r="E3" s="1" t="n">
        <f aca="false">COUNTA(A5:A65)+1</f>
        <v>2</v>
      </c>
      <c r="F3" s="9"/>
      <c r="G3" s="9"/>
      <c r="H3" s="9"/>
      <c r="I3" s="9"/>
      <c r="J3" s="8"/>
      <c r="K3" s="10"/>
      <c r="L3" s="8"/>
      <c r="M3" s="8"/>
      <c r="O3" s="10"/>
    </row>
    <row r="4" customFormat="false" ht="15" hidden="false" customHeight="false" outlineLevel="0" collapsed="false">
      <c r="A4" s="14" t="s">
        <v>16</v>
      </c>
      <c r="B4" s="14" t="s">
        <v>17</v>
      </c>
      <c r="C4" s="15" t="s">
        <v>18</v>
      </c>
      <c r="D4" s="14" t="s">
        <v>19</v>
      </c>
      <c r="E4" s="14" t="s">
        <v>20</v>
      </c>
      <c r="F4" s="16" t="s">
        <v>21</v>
      </c>
      <c r="G4" s="16" t="s">
        <v>22</v>
      </c>
      <c r="H4" s="16" t="s">
        <v>23</v>
      </c>
      <c r="I4" s="16" t="s">
        <v>24</v>
      </c>
      <c r="J4" s="15" t="s">
        <v>25</v>
      </c>
      <c r="K4" s="17" t="s">
        <v>83</v>
      </c>
      <c r="L4" s="15" t="s">
        <v>27</v>
      </c>
      <c r="M4" s="15" t="s">
        <v>28</v>
      </c>
      <c r="N4" s="15" t="s">
        <v>29</v>
      </c>
      <c r="O4" s="17" t="s">
        <v>30</v>
      </c>
    </row>
    <row r="5" customFormat="false" ht="45" hidden="false" customHeight="false" outlineLevel="0" collapsed="false">
      <c r="A5" s="18" t="n">
        <v>1</v>
      </c>
      <c r="B5" s="18" t="s">
        <v>47</v>
      </c>
      <c r="C5" s="19" t="s">
        <v>84</v>
      </c>
      <c r="D5" s="18" t="n">
        <v>2</v>
      </c>
      <c r="E5" s="18" t="n">
        <v>2</v>
      </c>
      <c r="F5" s="20" t="n">
        <f aca="false">E5*D5</f>
        <v>4</v>
      </c>
      <c r="G5" s="21" t="n">
        <v>4</v>
      </c>
      <c r="H5" s="21" t="n">
        <v>4</v>
      </c>
      <c r="I5" s="20" t="n">
        <f aca="false">H5*G5</f>
        <v>16</v>
      </c>
      <c r="J5" s="19" t="s">
        <v>85</v>
      </c>
      <c r="K5" s="19" t="s">
        <v>86</v>
      </c>
      <c r="L5" s="19" t="s">
        <v>87</v>
      </c>
      <c r="M5" s="19" t="s">
        <v>44</v>
      </c>
      <c r="N5" s="19" t="s">
        <v>45</v>
      </c>
      <c r="O5" s="22" t="s">
        <v>88</v>
      </c>
    </row>
    <row r="6" customFormat="false" ht="15" hidden="false" customHeight="false" outlineLevel="0" collapsed="false">
      <c r="A6" s="18"/>
      <c r="B6" s="18"/>
      <c r="C6" s="19"/>
      <c r="D6" s="18"/>
      <c r="E6" s="18"/>
      <c r="F6" s="20" t="n">
        <f aca="false">E6*D6</f>
        <v>0</v>
      </c>
      <c r="G6" s="21"/>
      <c r="H6" s="21"/>
      <c r="I6" s="20" t="n">
        <f aca="false">H6*G6</f>
        <v>0</v>
      </c>
      <c r="J6" s="19"/>
      <c r="K6" s="22"/>
      <c r="L6" s="19"/>
      <c r="M6" s="19"/>
      <c r="N6" s="19"/>
      <c r="O6" s="22"/>
    </row>
    <row r="7" customFormat="false" ht="15" hidden="false" customHeight="false" outlineLevel="0" collapsed="false">
      <c r="A7" s="18"/>
      <c r="B7" s="18"/>
      <c r="C7" s="19"/>
      <c r="D7" s="18"/>
      <c r="E7" s="18"/>
      <c r="F7" s="20" t="n">
        <f aca="false">E7*D7</f>
        <v>0</v>
      </c>
      <c r="G7" s="21"/>
      <c r="H7" s="21"/>
      <c r="I7" s="20" t="n">
        <f aca="false">H7*G7</f>
        <v>0</v>
      </c>
      <c r="J7" s="19"/>
      <c r="K7" s="22"/>
      <c r="L7" s="19"/>
      <c r="M7" s="19"/>
      <c r="N7" s="19"/>
      <c r="O7" s="22"/>
    </row>
    <row r="8" customFormat="false" ht="15" hidden="false" customHeight="false" outlineLevel="0" collapsed="false">
      <c r="A8" s="18"/>
      <c r="B8" s="18"/>
      <c r="C8" s="19"/>
      <c r="D8" s="18"/>
      <c r="E8" s="18"/>
      <c r="F8" s="20" t="n">
        <f aca="false">E8*D8</f>
        <v>0</v>
      </c>
      <c r="G8" s="21"/>
      <c r="H8" s="21"/>
      <c r="I8" s="20" t="n">
        <f aca="false">H8*G8</f>
        <v>0</v>
      </c>
      <c r="J8" s="19"/>
      <c r="K8" s="22"/>
      <c r="L8" s="19"/>
      <c r="M8" s="19"/>
      <c r="N8" s="19"/>
      <c r="O8" s="22"/>
    </row>
    <row r="9" customFormat="false" ht="15" hidden="false" customHeight="false" outlineLevel="0" collapsed="false">
      <c r="A9" s="18"/>
      <c r="B9" s="18"/>
      <c r="C9" s="19"/>
      <c r="D9" s="18"/>
      <c r="E9" s="18"/>
      <c r="F9" s="20" t="n">
        <f aca="false">E9*D9</f>
        <v>0</v>
      </c>
      <c r="G9" s="21"/>
      <c r="H9" s="21"/>
      <c r="I9" s="20" t="n">
        <f aca="false">H9*G9</f>
        <v>0</v>
      </c>
      <c r="J9" s="19"/>
      <c r="K9" s="22"/>
      <c r="L9" s="19"/>
      <c r="M9" s="19"/>
      <c r="N9" s="19"/>
      <c r="O9" s="22"/>
    </row>
    <row r="10" customFormat="false" ht="15" hidden="false" customHeight="false" outlineLevel="0" collapsed="false">
      <c r="A10" s="18"/>
      <c r="B10" s="18"/>
      <c r="C10" s="19"/>
      <c r="D10" s="18"/>
      <c r="E10" s="18"/>
      <c r="F10" s="20" t="n">
        <f aca="false">E10*D10</f>
        <v>0</v>
      </c>
      <c r="G10" s="21"/>
      <c r="H10" s="21"/>
      <c r="I10" s="20" t="n">
        <f aca="false">H10*G10</f>
        <v>0</v>
      </c>
      <c r="J10" s="19"/>
      <c r="K10" s="22"/>
      <c r="L10" s="19"/>
      <c r="M10" s="19"/>
      <c r="N10" s="19"/>
      <c r="O10" s="22"/>
    </row>
    <row r="11" customFormat="false" ht="15" hidden="false" customHeight="false" outlineLevel="0" collapsed="false">
      <c r="A11" s="18"/>
      <c r="B11" s="18"/>
      <c r="C11" s="19"/>
      <c r="D11" s="18"/>
      <c r="E11" s="18"/>
      <c r="F11" s="20" t="n">
        <f aca="false">E11*D11</f>
        <v>0</v>
      </c>
      <c r="G11" s="21"/>
      <c r="H11" s="21"/>
      <c r="I11" s="20" t="n">
        <f aca="false">H11*G11</f>
        <v>0</v>
      </c>
      <c r="J11" s="19"/>
      <c r="K11" s="22"/>
      <c r="L11" s="19"/>
      <c r="M11" s="19"/>
      <c r="N11" s="19"/>
      <c r="O11" s="22"/>
    </row>
    <row r="12" customFormat="false" ht="15" hidden="false" customHeight="false" outlineLevel="0" collapsed="false">
      <c r="A12" s="18"/>
      <c r="B12" s="18"/>
      <c r="C12" s="19"/>
      <c r="D12" s="18"/>
      <c r="E12" s="18"/>
      <c r="F12" s="20" t="n">
        <f aca="false">E12*D12</f>
        <v>0</v>
      </c>
      <c r="G12" s="21"/>
      <c r="H12" s="21"/>
      <c r="I12" s="20" t="n">
        <f aca="false">H12*G12</f>
        <v>0</v>
      </c>
      <c r="J12" s="19"/>
      <c r="K12" s="22"/>
      <c r="L12" s="19"/>
      <c r="M12" s="19"/>
      <c r="N12" s="19"/>
      <c r="O12" s="22"/>
    </row>
    <row r="13" customFormat="false" ht="15" hidden="false" customHeight="false" outlineLevel="0" collapsed="false">
      <c r="A13" s="18"/>
      <c r="B13" s="18"/>
      <c r="C13" s="19"/>
      <c r="D13" s="18"/>
      <c r="E13" s="18"/>
      <c r="F13" s="20" t="n">
        <f aca="false">E13*D13</f>
        <v>0</v>
      </c>
      <c r="G13" s="21"/>
      <c r="H13" s="21"/>
      <c r="I13" s="20" t="n">
        <f aca="false">H13*G13</f>
        <v>0</v>
      </c>
      <c r="J13" s="19"/>
      <c r="K13" s="22"/>
      <c r="L13" s="19"/>
      <c r="M13" s="19"/>
      <c r="N13" s="19"/>
      <c r="O13" s="22"/>
    </row>
    <row r="14" customFormat="false" ht="15" hidden="false" customHeight="false" outlineLevel="0" collapsed="false">
      <c r="A14" s="18"/>
      <c r="B14" s="18"/>
      <c r="C14" s="19"/>
      <c r="D14" s="18"/>
      <c r="E14" s="18"/>
      <c r="F14" s="20" t="n">
        <f aca="false">E14*D14</f>
        <v>0</v>
      </c>
      <c r="G14" s="21"/>
      <c r="H14" s="21"/>
      <c r="I14" s="20" t="n">
        <f aca="false">H14*G14</f>
        <v>0</v>
      </c>
      <c r="J14" s="19"/>
      <c r="K14" s="22"/>
      <c r="L14" s="19"/>
      <c r="M14" s="19"/>
      <c r="N14" s="19"/>
      <c r="O14" s="22"/>
    </row>
    <row r="15" customFormat="false" ht="15" hidden="false" customHeight="false" outlineLevel="0" collapsed="false">
      <c r="A15" s="18"/>
      <c r="B15" s="18"/>
      <c r="C15" s="19"/>
      <c r="D15" s="18"/>
      <c r="E15" s="18"/>
      <c r="F15" s="20" t="n">
        <f aca="false">E15*D15</f>
        <v>0</v>
      </c>
      <c r="G15" s="21"/>
      <c r="H15" s="21"/>
      <c r="I15" s="20" t="n">
        <f aca="false">H15*G15</f>
        <v>0</v>
      </c>
      <c r="J15" s="19"/>
      <c r="K15" s="22"/>
      <c r="L15" s="19"/>
      <c r="M15" s="19"/>
      <c r="N15" s="18"/>
      <c r="O15" s="22"/>
    </row>
  </sheetData>
  <conditionalFormatting sqref="F5:F15">
    <cfRule type="cellIs" priority="2" operator="greaterThanOrEqual" aboveAverage="0" equalAverage="0" bottom="0" percent="0" rank="0" text="" dxfId="6">
      <formula>15</formula>
    </cfRule>
    <cfRule type="cellIs" priority="3" operator="between" aboveAverage="0" equalAverage="0" bottom="0" percent="0" rank="0" text="" dxfId="7">
      <formula>6</formula>
      <formula>12</formula>
    </cfRule>
    <cfRule type="cellIs" priority="4" operator="lessThanOrEqual" aboveAverage="0" equalAverage="0" bottom="0" percent="0" rank="0" text="" dxfId="8">
      <formula>5</formula>
    </cfRule>
  </conditionalFormatting>
  <conditionalFormatting sqref="I5:I15">
    <cfRule type="cellIs" priority="5" operator="greaterThanOrEqual" aboveAverage="0" equalAverage="0" bottom="0" percent="0" rank="0" text="" dxfId="9">
      <formula>15</formula>
    </cfRule>
    <cfRule type="cellIs" priority="6" operator="between" aboveAverage="0" equalAverage="0" bottom="0" percent="0" rank="0" text="" dxfId="10">
      <formula>6</formula>
      <formula>12</formula>
    </cfRule>
    <cfRule type="cellIs" priority="7" operator="lessThanOrEqual" aboveAverage="0" equalAverage="0" bottom="0" percent="0" rank="0" text="" dxfId="11">
      <formula>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28" activeCellId="0" sqref="D28"/>
    </sheetView>
  </sheetViews>
  <sheetFormatPr defaultColWidth="8.5390625" defaultRowHeight="15" zeroHeight="false" outlineLevelRow="0" outlineLevelCol="0"/>
  <cols>
    <col collapsed="false" customWidth="true" hidden="false" outlineLevel="0" max="1" min="1" style="1" width="22.14"/>
    <col collapsed="false" customWidth="true" hidden="false" outlineLevel="0" max="2" min="2" style="1" width="35.86"/>
    <col collapsed="false" customWidth="true" hidden="false" outlineLevel="0" max="3" min="3" style="1" width="3.86"/>
  </cols>
  <sheetData>
    <row r="1" customFormat="false" ht="15" hidden="false" customHeight="false" outlineLevel="0" collapsed="false">
      <c r="A1" s="36" t="s">
        <v>89</v>
      </c>
      <c r="B1" s="36"/>
      <c r="C1" s="36"/>
    </row>
    <row r="2" customFormat="false" ht="85.5" hidden="false" customHeight="true" outlineLevel="0" collapsed="false">
      <c r="A2" s="37" t="s">
        <v>90</v>
      </c>
      <c r="B2" s="37"/>
      <c r="C2" s="37"/>
    </row>
    <row r="3" customFormat="false" ht="15" hidden="false" customHeight="false" outlineLevel="0" collapsed="false">
      <c r="A3" s="36" t="s">
        <v>91</v>
      </c>
      <c r="B3" s="36"/>
      <c r="C3" s="36"/>
    </row>
    <row r="4" customFormat="false" ht="15" hidden="false" customHeight="false" outlineLevel="0" collapsed="false">
      <c r="A4" s="38" t="s">
        <v>92</v>
      </c>
      <c r="B4" s="38" t="s">
        <v>93</v>
      </c>
      <c r="C4" s="38" t="s">
        <v>94</v>
      </c>
    </row>
    <row r="5" customFormat="false" ht="30" hidden="false" customHeight="false" outlineLevel="0" collapsed="false">
      <c r="A5" s="39" t="s">
        <v>95</v>
      </c>
      <c r="B5" s="40" t="s">
        <v>96</v>
      </c>
      <c r="C5" s="41" t="n">
        <v>1</v>
      </c>
    </row>
    <row r="6" customFormat="false" ht="15" hidden="false" customHeight="false" outlineLevel="0" collapsed="false">
      <c r="A6" s="42"/>
      <c r="B6" s="42"/>
      <c r="C6" s="42"/>
    </row>
    <row r="7" customFormat="false" ht="15" hidden="false" customHeight="false" outlineLevel="0" collapsed="false">
      <c r="A7" s="43" t="s">
        <v>97</v>
      </c>
      <c r="B7" s="40" t="s">
        <v>98</v>
      </c>
      <c r="C7" s="41" t="n">
        <v>5</v>
      </c>
    </row>
    <row r="8" customFormat="false" ht="15" hidden="false" customHeight="false" outlineLevel="0" collapsed="false">
      <c r="A8" s="43"/>
      <c r="B8" s="40" t="s">
        <v>99</v>
      </c>
      <c r="C8" s="44" t="n">
        <v>4</v>
      </c>
    </row>
    <row r="9" customFormat="false" ht="15" hidden="false" customHeight="false" outlineLevel="0" collapsed="false">
      <c r="A9" s="43"/>
      <c r="B9" s="40" t="s">
        <v>100</v>
      </c>
      <c r="C9" s="44" t="n">
        <v>5</v>
      </c>
    </row>
    <row r="10" customFormat="false" ht="15.75" hidden="false" customHeight="true" outlineLevel="0" collapsed="false">
      <c r="A10" s="43"/>
      <c r="B10" s="40" t="s">
        <v>101</v>
      </c>
      <c r="C10" s="44" t="n">
        <v>5</v>
      </c>
    </row>
    <row r="11" customFormat="false" ht="15" hidden="false" customHeight="false" outlineLevel="0" collapsed="false">
      <c r="A11" s="42"/>
      <c r="B11" s="42"/>
      <c r="C11" s="42"/>
    </row>
    <row r="12" customFormat="false" ht="15" hidden="false" customHeight="false" outlineLevel="0" collapsed="false">
      <c r="A12" s="43" t="s">
        <v>102</v>
      </c>
      <c r="B12" s="40" t="s">
        <v>103</v>
      </c>
      <c r="C12" s="41" t="n">
        <v>5</v>
      </c>
    </row>
    <row r="13" customFormat="false" ht="15" hidden="false" customHeight="false" outlineLevel="0" collapsed="false">
      <c r="A13" s="43"/>
      <c r="B13" s="40" t="s">
        <v>104</v>
      </c>
      <c r="C13" s="41" t="n">
        <v>5</v>
      </c>
    </row>
    <row r="14" customFormat="false" ht="15" hidden="false" customHeight="false" outlineLevel="0" collapsed="false">
      <c r="A14" s="42"/>
      <c r="B14" s="42"/>
      <c r="C14" s="42"/>
    </row>
    <row r="15" customFormat="false" ht="15" hidden="false" customHeight="false" outlineLevel="0" collapsed="false">
      <c r="A15" s="43" t="s">
        <v>105</v>
      </c>
      <c r="B15" s="40" t="s">
        <v>106</v>
      </c>
      <c r="C15" s="45" t="n">
        <v>4</v>
      </c>
    </row>
    <row r="16" customFormat="false" ht="15" hidden="false" customHeight="false" outlineLevel="0" collapsed="false">
      <c r="A16" s="43"/>
      <c r="B16" s="40" t="s">
        <v>107</v>
      </c>
      <c r="C16" s="41" t="n">
        <v>5</v>
      </c>
    </row>
  </sheetData>
  <mergeCells count="9">
    <mergeCell ref="A1:C1"/>
    <mergeCell ref="A2:C2"/>
    <mergeCell ref="A3:C3"/>
    <mergeCell ref="A6:C6"/>
    <mergeCell ref="A7:A10"/>
    <mergeCell ref="A11:C11"/>
    <mergeCell ref="A12:A13"/>
    <mergeCell ref="A14:C14"/>
    <mergeCell ref="A15:A16"/>
  </mergeCells>
  <conditionalFormatting sqref="C5 C7">
    <cfRule type="cellIs" priority="2" operator="lessThanOrEqual" aboveAverage="0" equalAverage="0" bottom="0" percent="0" rank="0" text="" dxfId="12">
      <formula>2</formula>
    </cfRule>
    <cfRule type="cellIs" priority="3" operator="equal" aboveAverage="0" equalAverage="0" bottom="0" percent="0" rank="0" text="" dxfId="13">
      <formula>3</formula>
    </cfRule>
    <cfRule type="cellIs" priority="4" operator="greaterThanOrEqual" aboveAverage="0" equalAverage="0" bottom="0" percent="0" rank="0" text="" dxfId="14">
      <formula>4</formula>
    </cfRule>
  </conditionalFormatting>
  <conditionalFormatting sqref="C8">
    <cfRule type="cellIs" priority="5" operator="between" aboveAverage="0" equalAverage="0" bottom="0" percent="0" rank="0" text="" dxfId="15">
      <formula>4</formula>
      <formula>4.4</formula>
    </cfRule>
    <cfRule type="cellIs" priority="6" operator="greaterThanOrEqual" aboveAverage="0" equalAverage="0" bottom="0" percent="0" rank="0" text="" dxfId="16">
      <formula>4.5</formula>
    </cfRule>
    <cfRule type="cellIs" priority="7" operator="lessThan" aboveAverage="0" equalAverage="0" bottom="0" percent="0" rank="0" text="" dxfId="17">
      <formula>4</formula>
    </cfRule>
  </conditionalFormatting>
  <conditionalFormatting sqref="C12">
    <cfRule type="cellIs" priority="8" operator="lessThanOrEqual" aboveAverage="0" equalAverage="0" bottom="0" percent="0" rank="0" text="" dxfId="18">
      <formula>2</formula>
    </cfRule>
    <cfRule type="cellIs" priority="9" operator="equal" aboveAverage="0" equalAverage="0" bottom="0" percent="0" rank="0" text="" dxfId="19">
      <formula>3</formula>
    </cfRule>
    <cfRule type="cellIs" priority="10" operator="greaterThanOrEqual" aboveAverage="0" equalAverage="0" bottom="0" percent="0" rank="0" text="" dxfId="20">
      <formula>4</formula>
    </cfRule>
  </conditionalFormatting>
  <conditionalFormatting sqref="C13">
    <cfRule type="cellIs" priority="11" operator="lessThanOrEqual" aboveAverage="0" equalAverage="0" bottom="0" percent="0" rank="0" text="" dxfId="21">
      <formula>2</formula>
    </cfRule>
    <cfRule type="cellIs" priority="12" operator="equal" aboveAverage="0" equalAverage="0" bottom="0" percent="0" rank="0" text="" dxfId="22">
      <formula>3</formula>
    </cfRule>
    <cfRule type="cellIs" priority="13" operator="greaterThanOrEqual" aboveAverage="0" equalAverage="0" bottom="0" percent="0" rank="0" text="" dxfId="23">
      <formula>4</formula>
    </cfRule>
  </conditionalFormatting>
  <conditionalFormatting sqref="C9:C10">
    <cfRule type="cellIs" priority="14" operator="between" aboveAverage="0" equalAverage="0" bottom="0" percent="0" rank="0" text="" dxfId="24">
      <formula>4</formula>
      <formula>4.4</formula>
    </cfRule>
    <cfRule type="cellIs" priority="15" operator="greaterThanOrEqual" aboveAverage="0" equalAverage="0" bottom="0" percent="0" rank="0" text="" dxfId="25">
      <formula>4.5</formula>
    </cfRule>
    <cfRule type="cellIs" priority="16" operator="lessThan" aboveAverage="0" equalAverage="0" bottom="0" percent="0" rank="0" text="" dxfId="26">
      <formula>4</formula>
    </cfRule>
  </conditionalFormatting>
  <conditionalFormatting sqref="C15:C16">
    <cfRule type="cellIs" priority="17" operator="lessThanOrEqual" aboveAverage="0" equalAverage="0" bottom="0" percent="0" rank="0" text="" dxfId="27">
      <formula>2</formula>
    </cfRule>
    <cfRule type="cellIs" priority="18" operator="equal" aboveAverage="0" equalAverage="0" bottom="0" percent="0" rank="0" text="" dxfId="28">
      <formula>3</formula>
    </cfRule>
    <cfRule type="cellIs" priority="19" operator="greaterThanOrEqual" aboveAverage="0" equalAverage="0" bottom="0" percent="0" rank="0" text="" dxfId="29">
      <formula>4</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2641A1E59C3FB43A56D7F55E544A9C3" ma:contentTypeVersion="8" ma:contentTypeDescription="Create a new document." ma:contentTypeScope="" ma:versionID="b360e8f33b788cf751407d9c1d9a958d">
  <xsd:schema xmlns:xsd="http://www.w3.org/2001/XMLSchema" xmlns:xs="http://www.w3.org/2001/XMLSchema" xmlns:p="http://schemas.microsoft.com/office/2006/metadata/properties" xmlns:ns3="da9a5215-dd10-4851-82c7-3e4dec179858" xmlns:ns4="c88d5c7b-a1a2-4093-9ddf-9166cb5bb70d" targetNamespace="http://schemas.microsoft.com/office/2006/metadata/properties" ma:root="true" ma:fieldsID="a247db12b20f487e83244cfa7aec2fe3" ns3:_="" ns4:_="">
    <xsd:import namespace="da9a5215-dd10-4851-82c7-3e4dec179858"/>
    <xsd:import namespace="c88d5c7b-a1a2-4093-9ddf-9166cb5bb70d"/>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9a5215-dd10-4851-82c7-3e4dec1798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8d5c7b-a1a2-4093-9ddf-9166cb5bb70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1452B5-4F47-42F9-86B1-7DE0C4B8F09F}">
  <ds:schemaRefs>
    <ds:schemaRef ds:uri="http://schemas.microsoft.com/sharepoint/v3/contenttype/forms"/>
  </ds:schemaRefs>
</ds:datastoreItem>
</file>

<file path=customXml/itemProps2.xml><?xml version="1.0" encoding="utf-8"?>
<ds:datastoreItem xmlns:ds="http://schemas.openxmlformats.org/officeDocument/2006/customXml" ds:itemID="{61D0801A-F75F-4A71-AFF3-A311E5C80323}">
  <ds:schemaRefs>
    <ds:schemaRef ds:uri="http://schemas.microsoft.com/office/2006/documentManagement/types"/>
    <ds:schemaRef ds:uri="http://purl.org/dc/terms/"/>
    <ds:schemaRef ds:uri="http://schemas.openxmlformats.org/package/2006/metadata/core-properties"/>
    <ds:schemaRef ds:uri="c88d5c7b-a1a2-4093-9ddf-9166cb5bb70d"/>
    <ds:schemaRef ds:uri="http://purl.org/dc/dcmitype/"/>
    <ds:schemaRef ds:uri="http://schemas.microsoft.com/office/infopath/2007/PartnerControls"/>
    <ds:schemaRef ds:uri="da9a5215-dd10-4851-82c7-3e4dec179858"/>
    <ds:schemaRef ds:uri="http://purl.org/dc/elements/1.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713F6A66-32F8-4873-8430-8733826530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9a5215-dd10-4851-82c7-3e4dec179858"/>
    <ds:schemaRef ds:uri="c88d5c7b-a1a2-4093-9ddf-9166cb5bb7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9</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2019-10-16T19:20:13Z</dcterms:created>
  <dc:creator>Mario Abegao Luis de Oliveira</dc:creator>
  <dc:description/>
  <dc:language>pt-BR</dc:language>
  <cp:lastModifiedBy/>
  <dcterms:modified xsi:type="dcterms:W3CDTF">2026-02-13T11:00:24Z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0x01010082641A1E59C3FB43A56D7F55E544A9C3</vt:lpwstr>
  </property>
</Properties>
</file>